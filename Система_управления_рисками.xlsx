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Справочники" sheetId="2" state="visible" r:id="rId4"/>
    <sheet name="Реестр рисков" sheetId="3" state="visible" r:id="rId5"/>
    <sheet name="План обработки рисков" sheetId="4" state="visible" r:id="rId6"/>
    <sheet name="Матрица рисков" sheetId="5" state="visible" r:id="rId7"/>
  </sheets>
  <definedNames>
    <definedName function="false" hidden="false" name="CategoryList" vbProcedure="false">Справочники!$B$29:$B$36</definedName>
    <definedName function="false" hidden="false" name="ControlEffList" vbProcedure="false">Справочники!$E$29:$E$32</definedName>
    <definedName function="false" hidden="false" name="PlanStatusList" vbProcedure="false">Справочники!$F$29:$F$33</definedName>
    <definedName function="false" hidden="false" name="RiskStatusList" vbProcedure="false">Справочники!$D$29:$D$32</definedName>
    <definedName function="false" hidden="false" name="RiskZoneTable" vbProcedure="false">Справочники!$B$21:$F$25</definedName>
    <definedName function="false" hidden="false" name="ScoreList" vbProcedure="false">Справочники!$B$5:$B$9</definedName>
    <definedName function="false" hidden="false" name="StrategyList" vbProcedure="false">Справочники!$C$29:$C$32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<sst xmlns="http://schemas.openxmlformats.org/spreadsheetml/2006/main" count="343" uniqueCount="262">
  <si>
    <t xml:space="preserve">Система управления рисками организации (СУР)</t>
  </si>
  <si>
    <t xml:space="preserve">Инструмент риск-менеджера: единый реестр рисков, план обработки и тепловая карта. Соответствует ISO 31000:2018 и COSO ERM 2017.</t>
  </si>
  <si>
    <t xml:space="preserve">1. Состав книги</t>
  </si>
  <si>
    <t xml:space="preserve">Лист</t>
  </si>
  <si>
    <t xml:space="preserve">Назначение</t>
  </si>
  <si>
    <t xml:space="preserve">Основной пользователь</t>
  </si>
  <si>
    <t xml:space="preserve">Инструкция</t>
  </si>
  <si>
    <t xml:space="preserve">Описание книги, порядок работы, сопоставление с ISO 31000 и COSO ERM</t>
  </si>
  <si>
    <t xml:space="preserve">Риск-менеджер</t>
  </si>
  <si>
    <t xml:space="preserve">Справочники</t>
  </si>
  <si>
    <t xml:space="preserve">Шкалы вероятности, влияния, уровня риска и риск-аппетита; списки для выпадающих меню</t>
  </si>
  <si>
    <t xml:space="preserve">Реестр рисков</t>
  </si>
  <si>
    <t xml:space="preserve">Единый реестр: идентификация, оценка присущего и остаточного риска, стратегия реагирования</t>
  </si>
  <si>
    <t xml:space="preserve">Риск-менеджер, владельцы рисков</t>
  </si>
  <si>
    <t xml:space="preserve">План обработки рисков</t>
  </si>
  <si>
    <t xml:space="preserve">Мероприятия по обработке риска, ответственные, сроки, статус выполнения</t>
  </si>
  <si>
    <t xml:space="preserve">Владельцы рисков</t>
  </si>
  <si>
    <t xml:space="preserve">Матрица рисков</t>
  </si>
  <si>
    <t xml:space="preserve">Тепловая карта 5x5 и сводка по зонам риска для отчётности руководству</t>
  </si>
  <si>
    <t xml:space="preserve">Руководство / Комитет по рискам</t>
  </si>
  <si>
    <t xml:space="preserve">2. Порядок работы с книгой (5 шагов)</t>
  </si>
  <si>
    <t xml:space="preserve">Шаг 1</t>
  </si>
  <si>
    <t xml:space="preserve">Настройте справочники — проверьте и при необходимости адаптируйте шкалы вероятности/влияния, категории и статусы под специфику организации (лист «Справочники»).</t>
  </si>
  <si>
    <t xml:space="preserve">Шаг 2</t>
  </si>
  <si>
    <t xml:space="preserve">Заполните реестр рисков — внесите выявленные риски, оцените присущий (inherent) риск, опишите контроли и оцените остаточный (residual) риск (лист «Реестр рисков»).</t>
  </si>
  <si>
    <t xml:space="preserve">Шаг 3</t>
  </si>
  <si>
    <t xml:space="preserve">Создайте план обработки риска — для рисков вне риск-аппетита определите мероприятия, ответственных и сроки (лист «План обработки рисков»).</t>
  </si>
  <si>
    <t xml:space="preserve">Шаг 4</t>
  </si>
  <si>
    <t xml:space="preserve">Используйте матрицу рисков — визуализируйте риски на тепловой карте для приоритизации и подготовки отчётности руководству (лист «Матрица рисков»).</t>
  </si>
  <si>
    <t xml:space="preserve">Шаг 5</t>
  </si>
  <si>
    <t xml:space="preserve">Проводите регулярный пересмотр — отслеживайте статусы, сроки следующего пересмотра и обновляйте оценки по мере изменения контекста.</t>
  </si>
  <si>
    <t xml:space="preserve">3. Трассируемость к методологии</t>
  </si>
  <si>
    <t xml:space="preserve">Элемент системы</t>
  </si>
  <si>
    <t xml:space="preserve">ISO 31000:2018</t>
  </si>
  <si>
    <t xml:space="preserve">COSO ERM 2017</t>
  </si>
  <si>
    <t xml:space="preserve">Справочники (шкалы)</t>
  </si>
  <si>
    <t xml:space="preserve">Установление критериев оценки риска (п. 5.3)</t>
  </si>
  <si>
    <t xml:space="preserve">Strategy &amp; Objective-Setting</t>
  </si>
  <si>
    <t xml:space="preserve">Реестр рисков — идентификация/причины/последствия</t>
  </si>
  <si>
    <t xml:space="preserve">Идентификация риска</t>
  </si>
  <si>
    <t xml:space="preserve">Performance</t>
  </si>
  <si>
    <t xml:space="preserve">Реестр рисков — вероятность/влияние/уровень</t>
  </si>
  <si>
    <t xml:space="preserve">Анализ риска</t>
  </si>
  <si>
    <t xml:space="preserve">Оценивание риска (Risk Evaluation)</t>
  </si>
  <si>
    <t xml:space="preserve">Performance, Information &amp; Reporting</t>
  </si>
  <si>
    <t xml:space="preserve">Реестр рисков — стратегия реагирования</t>
  </si>
  <si>
    <t xml:space="preserve">Обработка риска (Risk Treatment)</t>
  </si>
  <si>
    <t xml:space="preserve">Дата следующего пересмотра, статус мероприятий</t>
  </si>
  <si>
    <t xml:space="preserve">Мониторинг и пересмотр</t>
  </si>
  <si>
    <t xml:space="preserve">Review &amp; Revision</t>
  </si>
  <si>
    <t xml:space="preserve">Владелец риска / Ответственный</t>
  </si>
  <si>
    <t xml:space="preserve">Коммуникация и консультирование</t>
  </si>
  <si>
    <t xml:space="preserve">Governance &amp; Culture</t>
  </si>
  <si>
    <t xml:space="preserve">Методологическая база: ISO 31000:2018, COSO ERM 2017. Формат: книга Excel (.xlsx) с формулами и условным форматированием.</t>
  </si>
  <si>
    <t xml:space="preserve">Шкала вероятности риска (1-5)</t>
  </si>
  <si>
    <t xml:space="preserve">Балл</t>
  </si>
  <si>
    <t xml:space="preserve">Наименование</t>
  </si>
  <si>
    <t xml:space="preserve">Описание (частота)</t>
  </si>
  <si>
    <t xml:space="preserve">Редко</t>
  </si>
  <si>
    <t xml:space="preserve">Событие может произойти только в исключительных обстоятельствах (реже 1 раза в 5 лет)</t>
  </si>
  <si>
    <t xml:space="preserve">Маловероятно</t>
  </si>
  <si>
    <t xml:space="preserve">Событие может произойти в отдельных случаях (примерно 1 раз в 3-5 лет)</t>
  </si>
  <si>
    <t xml:space="preserve">Возможно</t>
  </si>
  <si>
    <t xml:space="preserve">Событие может произойти при определённых условиях (примерно 1 раз в 1-3 года)</t>
  </si>
  <si>
    <t xml:space="preserve">Вероятно</t>
  </si>
  <si>
    <t xml:space="preserve">Событие, скорее всего, произойдёт в большинстве случаев (примерно 1 раз в год)</t>
  </si>
  <si>
    <t xml:space="preserve">Практически неизбежно</t>
  </si>
  <si>
    <t xml:space="preserve">Ожидается наступление события в большинстве обстоятельств (несколько раз в год)</t>
  </si>
  <si>
    <t xml:space="preserve">Шкала влияния риска (1-5)</t>
  </si>
  <si>
    <t xml:space="preserve">Описание (финансовый / операционный / репутационный эффект)</t>
  </si>
  <si>
    <t xml:space="preserve">Незначительное</t>
  </si>
  <si>
    <t xml:space="preserve">Минимальное влияние на финансовые показатели и операции; потери &lt; 0,1% годового бюджета</t>
  </si>
  <si>
    <t xml:space="preserve">Низкое</t>
  </si>
  <si>
    <t xml:space="preserve">Ограниченное влияние, устраняется в рамках текущей деятельности; потери 0,1-1% годового бюджета</t>
  </si>
  <si>
    <t xml:space="preserve">Умеренное</t>
  </si>
  <si>
    <t xml:space="preserve">Заметное влияние на результаты подразделения, требует управленческого вмешательства; потери 1-5% годового бюджета</t>
  </si>
  <si>
    <t xml:space="preserve">Высокое</t>
  </si>
  <si>
    <t xml:space="preserve">Существенное влияние на результаты организации, возможен репутационный ущерб; потери 5-15% годового бюджета</t>
  </si>
  <si>
    <t xml:space="preserve">Критическое</t>
  </si>
  <si>
    <t xml:space="preserve">Угроза непрерывности деятельности, серьёзный репутационный/регуляторный ущерб; потери &gt; 15% годового бюджета</t>
  </si>
  <si>
    <t xml:space="preserve">Шкала уровня риска и риск-аппетит (5 зон)</t>
  </si>
  <si>
    <t xml:space="preserve">От</t>
  </si>
  <si>
    <t xml:space="preserve">До</t>
  </si>
  <si>
    <t xml:space="preserve">Зона</t>
  </si>
  <si>
    <t xml:space="preserve">Цвет</t>
  </si>
  <si>
    <t xml:space="preserve">Рекомендуемое реагирование</t>
  </si>
  <si>
    <t xml:space="preserve">Незначительный</t>
  </si>
  <si>
    <t xml:space="preserve">Принятие риска, мониторинг без дополнительных мер</t>
  </si>
  <si>
    <t xml:space="preserve">Низкий</t>
  </si>
  <si>
    <t xml:space="preserve">Принятие риска либо точечные меры контроля, периодический мониторинг</t>
  </si>
  <si>
    <t xml:space="preserve">Средний</t>
  </si>
  <si>
    <t xml:space="preserve">Разработка мер снижения риска, назначение ответственного и сроков</t>
  </si>
  <si>
    <t xml:space="preserve">Высокий</t>
  </si>
  <si>
    <t xml:space="preserve">Обязательный план обработки риска, регулярный контроль руководством</t>
  </si>
  <si>
    <t xml:space="preserve">Критический</t>
  </si>
  <si>
    <t xml:space="preserve">Немедленное реагирование, эскалация на уровень высшего руководства</t>
  </si>
  <si>
    <t xml:space="preserve">Справочные списки (для выпадающих меню)</t>
  </si>
  <si>
    <t xml:space="preserve">Категории риска</t>
  </si>
  <si>
    <t xml:space="preserve">Стратегии реагирования</t>
  </si>
  <si>
    <t xml:space="preserve">Статусы риска</t>
  </si>
  <si>
    <t xml:space="preserve">Эффективность контролей</t>
  </si>
  <si>
    <t xml:space="preserve">Статусы мероприятий плана</t>
  </si>
  <si>
    <t xml:space="preserve">Операционный</t>
  </si>
  <si>
    <t xml:space="preserve">Избежание</t>
  </si>
  <si>
    <t xml:space="preserve">Открыт</t>
  </si>
  <si>
    <t xml:space="preserve">Эффективен</t>
  </si>
  <si>
    <t xml:space="preserve">Не начато</t>
  </si>
  <si>
    <t xml:space="preserve">Финансовый</t>
  </si>
  <si>
    <t xml:space="preserve">Снижение</t>
  </si>
  <si>
    <t xml:space="preserve">В работе</t>
  </si>
  <si>
    <t xml:space="preserve">Частично эффективен</t>
  </si>
  <si>
    <t xml:space="preserve">Комплаенс</t>
  </si>
  <si>
    <t xml:space="preserve">Передача</t>
  </si>
  <si>
    <t xml:space="preserve">Под контролем</t>
  </si>
  <si>
    <t xml:space="preserve">Неэффективен</t>
  </si>
  <si>
    <t xml:space="preserve">Завершено</t>
  </si>
  <si>
    <t xml:space="preserve">HR (кадровый)</t>
  </si>
  <si>
    <t xml:space="preserve">Принятие</t>
  </si>
  <si>
    <t xml:space="preserve">Закрыт</t>
  </si>
  <si>
    <t xml:space="preserve">Отсутствует</t>
  </si>
  <si>
    <t xml:space="preserve">Просрочено</t>
  </si>
  <si>
    <t xml:space="preserve">ИБ (информационная безопасность)</t>
  </si>
  <si>
    <t xml:space="preserve">Отменено</t>
  </si>
  <si>
    <t xml:space="preserve">Стратегический</t>
  </si>
  <si>
    <t xml:space="preserve">Проектный</t>
  </si>
  <si>
    <t xml:space="preserve">Репутационный</t>
  </si>
  <si>
    <t xml:space="preserve">ID</t>
  </si>
  <si>
    <t xml:space="preserve">Категория</t>
  </si>
  <si>
    <t xml:space="preserve">Наименование риска</t>
  </si>
  <si>
    <t xml:space="preserve">Причина возникновения</t>
  </si>
  <si>
    <t xml:space="preserve">Последствия / влияние</t>
  </si>
  <si>
    <t xml:space="preserve">Владелец риска</t>
  </si>
  <si>
    <t xml:space="preserve">Дата выявления</t>
  </si>
  <si>
    <t xml:space="preserve">Вероятность
(присущий)</t>
  </si>
  <si>
    <t xml:space="preserve">Влияние
(присущий)</t>
  </si>
  <si>
    <t xml:space="preserve">Уровень риска
(присущий)</t>
  </si>
  <si>
    <t xml:space="preserve">Зона
(присущий)</t>
  </si>
  <si>
    <t xml:space="preserve">Существующие меры контроля</t>
  </si>
  <si>
    <t xml:space="preserve">Эффективность
контролей</t>
  </si>
  <si>
    <t xml:space="preserve">Вероятность
(остаточный)</t>
  </si>
  <si>
    <t xml:space="preserve">Влияние
(остаточный)</t>
  </si>
  <si>
    <t xml:space="preserve">Уровень риска
(остаточный)</t>
  </si>
  <si>
    <t xml:space="preserve">Зона
(остаточный)</t>
  </si>
  <si>
    <t xml:space="preserve">Стратегия
реагирования</t>
  </si>
  <si>
    <t xml:space="preserve">Статус риска</t>
  </si>
  <si>
    <t xml:space="preserve">Дата следующего
пересмотра</t>
  </si>
  <si>
    <t xml:space="preserve">ID плана
обработки</t>
  </si>
  <si>
    <t xml:space="preserve">Сбой ключевого производственного оборудования</t>
  </si>
  <si>
    <t xml:space="preserve">Износ оборудования, отсутствие планового ТО</t>
  </si>
  <si>
    <t xml:space="preserve">Остановка производства, срыв поставок</t>
  </si>
  <si>
    <t xml:space="preserve">Директор по производству</t>
  </si>
  <si>
    <t xml:space="preserve">2026-01-15</t>
  </si>
  <si>
    <t xml:space="preserve">Плановое ТО раз в квартал, резервное оборудование</t>
  </si>
  <si>
    <t xml:space="preserve">2026-09-01</t>
  </si>
  <si>
    <t xml:space="preserve">Валютный риск при закупках в иностранной валюте</t>
  </si>
  <si>
    <t xml:space="preserve">Колебания курса USD/EUR при импорте сырья</t>
  </si>
  <si>
    <t xml:space="preserve">Рост себестоимости, снижение маржи</t>
  </si>
  <si>
    <t xml:space="preserve">Финансовый директор</t>
  </si>
  <si>
    <t xml:space="preserve">2026-02-01</t>
  </si>
  <si>
    <t xml:space="preserve">Частичное валютное хеджирование форвардными контрактами</t>
  </si>
  <si>
    <t xml:space="preserve">2026-08-15</t>
  </si>
  <si>
    <t xml:space="preserve">Несоответствие требованиям законодательства о персональных данных</t>
  </si>
  <si>
    <t xml:space="preserve">Устаревшие процедуры обработки ПДн, отсутствие обучения персонала</t>
  </si>
  <si>
    <t xml:space="preserve">Штрафы регулятора, репутационные потери</t>
  </si>
  <si>
    <t xml:space="preserve">Руководитель службы комплаенс</t>
  </si>
  <si>
    <t xml:space="preserve">2026-01-20</t>
  </si>
  <si>
    <t xml:space="preserve">Политика обработки ПДн, назначен ответственный (DPO)</t>
  </si>
  <si>
    <t xml:space="preserve">2026-07-30</t>
  </si>
  <si>
    <t xml:space="preserve">Отток ключевых сотрудников</t>
  </si>
  <si>
    <t xml:space="preserve">Недостаточная конкурентоспособность оплаты труда, отсутствие карьерных треков</t>
  </si>
  <si>
    <t xml:space="preserve">Потеря экспертизы, рост затрат на найм и адаптацию</t>
  </si>
  <si>
    <t xml:space="preserve">HR-директор</t>
  </si>
  <si>
    <t xml:space="preserve">2026-02-10</t>
  </si>
  <si>
    <t xml:space="preserve">Программа удержания, регулярный обзор заработных плат</t>
  </si>
  <si>
    <t xml:space="preserve">2026-10-01</t>
  </si>
  <si>
    <t xml:space="preserve">Утечка конфиденциальных данных вследствие кибератаки</t>
  </si>
  <si>
    <t xml:space="preserve">Уязвимости периметровой защиты, фишинговые атаки на сотрудников</t>
  </si>
  <si>
    <t xml:space="preserve">Утрата данных, штрафы регулятора, репутационный ущерб</t>
  </si>
  <si>
    <t xml:space="preserve">Директор по ИБ (CISO)</t>
  </si>
  <si>
    <t xml:space="preserve">2026-01-25</t>
  </si>
  <si>
    <t xml:space="preserve">SIEM-система, обучение сотрудников, многофакторная аутентификация</t>
  </si>
  <si>
    <t xml:space="preserve">2026-07-15</t>
  </si>
  <si>
    <t xml:space="preserve">Потеря доли рынка из-за выхода нового конкурента</t>
  </si>
  <si>
    <t xml:space="preserve">Появление технологичного конкурента с более низкой ценой</t>
  </si>
  <si>
    <t xml:space="preserve">Снижение выручки, отток клиентов</t>
  </si>
  <si>
    <t xml:space="preserve">Генеральный директор</t>
  </si>
  <si>
    <t xml:space="preserve">2026-02-05</t>
  </si>
  <si>
    <t xml:space="preserve">Мониторинг конкурентной среды, программа лояльности клиентов</t>
  </si>
  <si>
    <t xml:space="preserve">2026-12-01</t>
  </si>
  <si>
    <t xml:space="preserve">Срыв сроков запуска ИТ-проекта внедрения ERP-системы</t>
  </si>
  <si>
    <t xml:space="preserve">Недооценка сложности интеграции, нехватка квалифицированных ресурсов</t>
  </si>
  <si>
    <t xml:space="preserve">Превышение бюджета, задержка получения выгод от проекта</t>
  </si>
  <si>
    <t xml:space="preserve">Руководитель проекта</t>
  </si>
  <si>
    <t xml:space="preserve">2026-03-01</t>
  </si>
  <si>
    <t xml:space="preserve">Еженедельный контроль хода проекта, резерв бюджета на риски</t>
  </si>
  <si>
    <t xml:space="preserve">2026-08-01</t>
  </si>
  <si>
    <t xml:space="preserve">ID мероприятия</t>
  </si>
  <si>
    <t xml:space="preserve">ID риска</t>
  </si>
  <si>
    <t xml:space="preserve">Мероприятие / действие</t>
  </si>
  <si>
    <t xml:space="preserve">Ответственный</t>
  </si>
  <si>
    <t xml:space="preserve">Ресурсы / бюджет</t>
  </si>
  <si>
    <t xml:space="preserve">Дата начала</t>
  </si>
  <si>
    <t xml:space="preserve">Дата завершения</t>
  </si>
  <si>
    <t xml:space="preserve">KRI / индикатор контроля</t>
  </si>
  <si>
    <t xml:space="preserve">Целевой остаточный
уровень риска</t>
  </si>
  <si>
    <t xml:space="preserve">Статус выполнения</t>
  </si>
  <si>
    <t xml:space="preserve">% выполнения</t>
  </si>
  <si>
    <t xml:space="preserve">Комментарии</t>
  </si>
  <si>
    <t xml:space="preserve">R-001</t>
  </si>
  <si>
    <t xml:space="preserve">Внедрить систему мониторинга состояния оборудования (IIoT-датчики)</t>
  </si>
  <si>
    <t xml:space="preserve">Главный инженер</t>
  </si>
  <si>
    <t xml:space="preserve">2 500 000 руб.</t>
  </si>
  <si>
    <t xml:space="preserve">2026-08-31</t>
  </si>
  <si>
    <t xml:space="preserve">Количество внеплановых простоев в месяц</t>
  </si>
  <si>
    <t xml:space="preserve">Пилот запущен на 2 производственных линиях</t>
  </si>
  <si>
    <t xml:space="preserve">R-002</t>
  </si>
  <si>
    <t xml:space="preserve">Заключить дополнительные форвардные контракты на 70% объёма валютных закупок</t>
  </si>
  <si>
    <t xml:space="preserve">Казначей</t>
  </si>
  <si>
    <t xml:space="preserve">Внутренние трудозатраты</t>
  </si>
  <si>
    <t xml:space="preserve">2026-05-31</t>
  </si>
  <si>
    <t xml:space="preserve">Доля захеджированных закупок</t>
  </si>
  <si>
    <t xml:space="preserve">Контракты подписаны с банком-партнёром</t>
  </si>
  <si>
    <t xml:space="preserve">R-003</t>
  </si>
  <si>
    <t xml:space="preserve">Провести аудит процессов обработки персональных данных и обучить персонал</t>
  </si>
  <si>
    <t xml:space="preserve">Ответственный за защиту данных (DPO)</t>
  </si>
  <si>
    <t xml:space="preserve">300 000 руб.</t>
  </si>
  <si>
    <t xml:space="preserve">2026-06-30</t>
  </si>
  <si>
    <t xml:space="preserve">Доля сотрудников, прошедших обучение</t>
  </si>
  <si>
    <t xml:space="preserve">Обучение проведено в 3 из 5 подразделений</t>
  </si>
  <si>
    <t xml:space="preserve">R-005</t>
  </si>
  <si>
    <t xml:space="preserve">Внедрить многофакторную аутентификацию для всех критичных систем</t>
  </si>
  <si>
    <t xml:space="preserve">1 200 000 руб.</t>
  </si>
  <si>
    <t xml:space="preserve">2026-04-30</t>
  </si>
  <si>
    <t xml:space="preserve">Доля критичных систем с MFA</t>
  </si>
  <si>
    <t xml:space="preserve">Осталось подключить 2 legacy-системы</t>
  </si>
  <si>
    <t xml:space="preserve">R-007</t>
  </si>
  <si>
    <t xml:space="preserve">Привлечь дополнительного интегратора для критичного модуля ERP</t>
  </si>
  <si>
    <t xml:space="preserve">4 000 000 руб.</t>
  </si>
  <si>
    <t xml:space="preserve">2026-03-15</t>
  </si>
  <si>
    <t xml:space="preserve">2026-09-30</t>
  </si>
  <si>
    <t xml:space="preserve">% выполнения плана проекта</t>
  </si>
  <si>
    <t xml:space="preserve">Ожидается решение бюджетного комитета</t>
  </si>
  <si>
    <t xml:space="preserve">Создать резервный склад запасных частей для критичного оборудования</t>
  </si>
  <si>
    <t xml:space="preserve">800 000 руб.</t>
  </si>
  <si>
    <t xml:space="preserve">2026-04-01</t>
  </si>
  <si>
    <t xml:space="preserve">2026-07-31</t>
  </si>
  <si>
    <t xml:space="preserve">Время восстановления после отказа (MTTR)</t>
  </si>
  <si>
    <t xml:space="preserve">Матрица рисков (тепловая карта)</t>
  </si>
  <si>
    <t xml:space="preserve">Присущий (inherent) риск: количество рисков по сочетанию Вероятность x Влияние</t>
  </si>
  <si>
    <t xml:space="preserve">Вероятность</t>
  </si>
  <si>
    <t xml:space="preserve">Влияние</t>
  </si>
  <si>
    <t xml:space="preserve">Легенда</t>
  </si>
  <si>
    <t xml:space="preserve">Баллы</t>
  </si>
  <si>
    <t xml:space="preserve">1-4</t>
  </si>
  <si>
    <t xml:space="preserve">5-9</t>
  </si>
  <si>
    <t xml:space="preserve">10-14</t>
  </si>
  <si>
    <t xml:space="preserve">15-19</t>
  </si>
  <si>
    <t xml:space="preserve">20-25</t>
  </si>
  <si>
    <t xml:space="preserve">Итого рисков по зонам (присущий риск)</t>
  </si>
  <si>
    <t xml:space="preserve">Диапазон баллов</t>
  </si>
  <si>
    <t xml:space="preserve">Количество рисков</t>
  </si>
  <si>
    <t xml:space="preserve">Всего рисков в реестре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</si>
</sst>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00B050"/>
        <bgColor rgb="FF008080"/>
      </patternFill>
    </fill>
    <fill>
      <patternFill patternType="solid">
        <fgColor rgb="FFA9D18E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00B050"/>
        </patternFill>
      </fill>
    </dxf>
    <dxf>
      <fill>
        <patternFill>
          <bgColor rgb="FFA9D18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color rgb="FFFF0000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4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B2" s="2" t="s">
        <v>1</v>
      </c>
      <c r="C2" s="2"/>
      <c r="D2" s="2"/>
      <c r="E2" s="2"/>
    </row>
    <row r="4" customFormat="false" ht="15" hidden="false" customHeight="false" outlineLevel="0" collapsed="false">
      <c r="B4" s="3" t="s">
        <v>2</v>
      </c>
    </row>
    <row r="5" customFormat="false" ht="19.5" hidden="false" customHeight="true" outlineLevel="0" collapsed="false">
      <c r="B5" s="4" t="s">
        <v>3</v>
      </c>
      <c r="C5" s="4" t="s">
        <v>4</v>
      </c>
      <c r="D5" s="4" t="s">
        <v>5</v>
      </c>
    </row>
    <row r="6" customFormat="false" ht="30" hidden="false" customHeight="true" outlineLevel="0" collapsed="false">
      <c r="B6" s="5" t="s">
        <v>6</v>
      </c>
      <c r="C6" s="6" t="s">
        <v>7</v>
      </c>
      <c r="D6" s="6" t="s">
        <v>8</v>
      </c>
    </row>
    <row r="7" customFormat="false" ht="30" hidden="false" customHeight="true" outlineLevel="0" collapsed="false">
      <c r="B7" s="5" t="s">
        <v>9</v>
      </c>
      <c r="C7" s="6" t="s">
        <v>10</v>
      </c>
      <c r="D7" s="6" t="s">
        <v>8</v>
      </c>
    </row>
    <row r="8" customFormat="false" ht="30" hidden="false" customHeight="true" outlineLevel="0" collapsed="false">
      <c r="B8" s="5" t="s">
        <v>11</v>
      </c>
      <c r="C8" s="6" t="s">
        <v>12</v>
      </c>
      <c r="D8" s="6" t="s">
        <v>13</v>
      </c>
    </row>
    <row r="9" customFormat="false" ht="30" hidden="false" customHeight="true" outlineLevel="0" collapsed="false">
      <c r="B9" s="5" t="s">
        <v>14</v>
      </c>
      <c r="C9" s="6" t="s">
        <v>15</v>
      </c>
      <c r="D9" s="6" t="s">
        <v>16</v>
      </c>
    </row>
    <row r="10" customFormat="false" ht="30" hidden="false" customHeight="true" outlineLevel="0" collapsed="false">
      <c r="B10" s="5" t="s">
        <v>17</v>
      </c>
      <c r="C10" s="6" t="s">
        <v>18</v>
      </c>
      <c r="D10" s="6" t="s">
        <v>19</v>
      </c>
    </row>
    <row r="12" customFormat="false" ht="15" hidden="false" customHeight="false" outlineLevel="0" collapsed="false">
      <c r="B12" s="3" t="s">
        <v>20</v>
      </c>
    </row>
    <row r="13" customFormat="false" ht="31.5" hidden="false" customHeight="true" outlineLevel="0" collapsed="false">
      <c r="B13" s="7" t="s">
        <v>21</v>
      </c>
      <c r="C13" s="8" t="s">
        <v>22</v>
      </c>
      <c r="D13" s="8"/>
      <c r="E13" s="8"/>
    </row>
    <row r="14" customFormat="false" ht="31.5" hidden="false" customHeight="true" outlineLevel="0" collapsed="false">
      <c r="B14" s="7" t="s">
        <v>23</v>
      </c>
      <c r="C14" s="8" t="s">
        <v>24</v>
      </c>
      <c r="D14" s="8"/>
      <c r="E14" s="8"/>
    </row>
    <row r="15" customFormat="false" ht="31.5" hidden="false" customHeight="true" outlineLevel="0" collapsed="false">
      <c r="B15" s="7" t="s">
        <v>25</v>
      </c>
      <c r="C15" s="8" t="s">
        <v>26</v>
      </c>
      <c r="D15" s="8"/>
      <c r="E15" s="8"/>
    </row>
    <row r="16" customFormat="false" ht="31.5" hidden="false" customHeight="true" outlineLevel="0" collapsed="false">
      <c r="B16" s="7" t="s">
        <v>27</v>
      </c>
      <c r="C16" s="8" t="s">
        <v>28</v>
      </c>
      <c r="D16" s="8"/>
      <c r="E16" s="8"/>
    </row>
    <row r="17" customFormat="false" ht="31.5" hidden="false" customHeight="true" outlineLevel="0" collapsed="false">
      <c r="B17" s="7" t="s">
        <v>29</v>
      </c>
      <c r="C17" s="8" t="s">
        <v>30</v>
      </c>
      <c r="D17" s="8"/>
      <c r="E17" s="8"/>
    </row>
    <row r="19" customFormat="false" ht="15" hidden="false" customHeight="false" outlineLevel="0" collapsed="false">
      <c r="B19" s="3" t="s">
        <v>31</v>
      </c>
    </row>
    <row r="20" customFormat="false" ht="19.5" hidden="false" customHeight="true" outlineLevel="0" collapsed="false">
      <c r="B20" s="4" t="s">
        <v>32</v>
      </c>
      <c r="C20" s="4" t="s">
        <v>33</v>
      </c>
      <c r="D20" s="4" t="s">
        <v>34</v>
      </c>
    </row>
    <row r="21" customFormat="false" ht="25.5" hidden="false" customHeight="true" outlineLevel="0" collapsed="false">
      <c r="B21" s="6" t="s">
        <v>35</v>
      </c>
      <c r="C21" s="6" t="s">
        <v>36</v>
      </c>
      <c r="D21" s="6" t="s">
        <v>37</v>
      </c>
    </row>
    <row r="22" customFormat="false" ht="25.5" hidden="false" customHeight="true" outlineLevel="0" collapsed="false">
      <c r="B22" s="6" t="s">
        <v>38</v>
      </c>
      <c r="C22" s="6" t="s">
        <v>39</v>
      </c>
      <c r="D22" s="6" t="s">
        <v>40</v>
      </c>
    </row>
    <row r="23" customFormat="false" ht="25.5" hidden="false" customHeight="true" outlineLevel="0" collapsed="false">
      <c r="B23" s="6" t="s">
        <v>41</v>
      </c>
      <c r="C23" s="6" t="s">
        <v>42</v>
      </c>
      <c r="D23" s="6" t="s">
        <v>40</v>
      </c>
    </row>
    <row r="24" customFormat="false" ht="25.5" hidden="false" customHeight="true" outlineLevel="0" collapsed="false">
      <c r="B24" s="6" t="s">
        <v>17</v>
      </c>
      <c r="C24" s="6" t="s">
        <v>43</v>
      </c>
      <c r="D24" s="6" t="s">
        <v>44</v>
      </c>
    </row>
    <row r="25" customFormat="false" ht="25.5" hidden="false" customHeight="true" outlineLevel="0" collapsed="false">
      <c r="B25" s="6" t="s">
        <v>45</v>
      </c>
      <c r="C25" s="6" t="s">
        <v>46</v>
      </c>
      <c r="D25" s="6" t="s">
        <v>40</v>
      </c>
    </row>
    <row r="26" customFormat="false" ht="25.5" hidden="false" customHeight="true" outlineLevel="0" collapsed="false">
      <c r="B26" s="6" t="s">
        <v>14</v>
      </c>
      <c r="C26" s="6" t="s">
        <v>46</v>
      </c>
      <c r="D26" s="6" t="s">
        <v>40</v>
      </c>
    </row>
    <row r="27" customFormat="false" ht="25.5" hidden="false" customHeight="true" outlineLevel="0" collapsed="false">
      <c r="B27" s="6" t="s">
        <v>47</v>
      </c>
      <c r="C27" s="6" t="s">
        <v>48</v>
      </c>
      <c r="D27" s="6" t="s">
        <v>49</v>
      </c>
    </row>
    <row r="28" customFormat="false" ht="25.5" hidden="false" customHeight="true" outlineLevel="0" collapsed="false">
      <c r="B28" s="6" t="s">
        <v>50</v>
      </c>
      <c r="C28" s="6" t="s">
        <v>51</v>
      </c>
      <c r="D28" s="6" t="s">
        <v>52</v>
      </c>
    </row>
    <row r="30" customFormat="false" ht="15" hidden="false" customHeight="false" outlineLevel="0" collapsed="false">
      <c r="B30" s="2" t="s">
        <v>53</v>
      </c>
      <c r="C30" s="2"/>
      <c r="D30" s="2"/>
      <c r="E30" s="2"/>
    </row>
  </sheetData>
  <mergeCells count="8">
    <mergeCell ref="A1:E1"/>
    <mergeCell ref="B2:E2"/>
    <mergeCell ref="C13:E13"/>
    <mergeCell ref="C14:E14"/>
    <mergeCell ref="C15:E15"/>
    <mergeCell ref="C16:E16"/>
    <mergeCell ref="C17:E17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55"/>
    <col collapsed="false" customWidth="true" hidden="false" outlineLevel="0" max="5" min="5" style="0" width="20"/>
    <col collapsed="false" customWidth="true" hidden="false" outlineLevel="0" max="6" min="6" style="0" width="45"/>
  </cols>
  <sheetData>
    <row r="1" customFormat="false" ht="27.75" hidden="false" customHeight="true" outlineLevel="0" collapsed="false">
      <c r="A1" s="1" t="s">
        <v>9</v>
      </c>
      <c r="B1" s="1"/>
      <c r="C1" s="1"/>
      <c r="D1" s="1"/>
      <c r="E1" s="1"/>
      <c r="F1" s="1"/>
    </row>
    <row r="3" customFormat="false" ht="15" hidden="false" customHeight="false" outlineLevel="0" collapsed="false">
      <c r="B3" s="3" t="s">
        <v>54</v>
      </c>
    </row>
    <row r="4" customFormat="false" ht="33.75" hidden="false" customHeight="true" outlineLevel="0" collapsed="false">
      <c r="B4" s="4" t="s">
        <v>55</v>
      </c>
      <c r="C4" s="4" t="s">
        <v>56</v>
      </c>
      <c r="D4" s="4" t="s">
        <v>57</v>
      </c>
    </row>
    <row r="5" customFormat="false" ht="27.75" hidden="false" customHeight="true" outlineLevel="0" collapsed="false">
      <c r="B5" s="6" t="n">
        <v>1</v>
      </c>
      <c r="C5" s="6" t="s">
        <v>58</v>
      </c>
      <c r="D5" s="6" t="s">
        <v>59</v>
      </c>
    </row>
    <row r="6" customFormat="false" ht="27.75" hidden="false" customHeight="true" outlineLevel="0" collapsed="false">
      <c r="B6" s="6" t="n">
        <v>2</v>
      </c>
      <c r="C6" s="6" t="s">
        <v>60</v>
      </c>
      <c r="D6" s="6" t="s">
        <v>61</v>
      </c>
    </row>
    <row r="7" customFormat="false" ht="27.75" hidden="false" customHeight="true" outlineLevel="0" collapsed="false">
      <c r="B7" s="6" t="n">
        <v>3</v>
      </c>
      <c r="C7" s="6" t="s">
        <v>62</v>
      </c>
      <c r="D7" s="6" t="s">
        <v>63</v>
      </c>
    </row>
    <row r="8" customFormat="false" ht="27.75" hidden="false" customHeight="true" outlineLevel="0" collapsed="false">
      <c r="B8" s="6" t="n">
        <v>4</v>
      </c>
      <c r="C8" s="6" t="s">
        <v>64</v>
      </c>
      <c r="D8" s="6" t="s">
        <v>65</v>
      </c>
    </row>
    <row r="9" customFormat="false" ht="27.75" hidden="false" customHeight="true" outlineLevel="0" collapsed="false">
      <c r="B9" s="6" t="n">
        <v>5</v>
      </c>
      <c r="C9" s="6" t="s">
        <v>66</v>
      </c>
      <c r="D9" s="6" t="s">
        <v>67</v>
      </c>
    </row>
    <row r="11" customFormat="false" ht="15" hidden="false" customHeight="false" outlineLevel="0" collapsed="false">
      <c r="B11" s="3" t="s">
        <v>68</v>
      </c>
    </row>
    <row r="12" customFormat="false" ht="33.75" hidden="false" customHeight="true" outlineLevel="0" collapsed="false">
      <c r="B12" s="4" t="s">
        <v>55</v>
      </c>
      <c r="C12" s="4" t="s">
        <v>56</v>
      </c>
      <c r="D12" s="4" t="s">
        <v>69</v>
      </c>
    </row>
    <row r="13" customFormat="false" ht="27.75" hidden="false" customHeight="true" outlineLevel="0" collapsed="false">
      <c r="B13" s="6" t="n">
        <v>1</v>
      </c>
      <c r="C13" s="6" t="s">
        <v>70</v>
      </c>
      <c r="D13" s="6" t="s">
        <v>71</v>
      </c>
    </row>
    <row r="14" customFormat="false" ht="27.75" hidden="false" customHeight="true" outlineLevel="0" collapsed="false">
      <c r="B14" s="6" t="n">
        <v>2</v>
      </c>
      <c r="C14" s="6" t="s">
        <v>72</v>
      </c>
      <c r="D14" s="6" t="s">
        <v>73</v>
      </c>
    </row>
    <row r="15" customFormat="false" ht="27.75" hidden="false" customHeight="true" outlineLevel="0" collapsed="false">
      <c r="B15" s="6" t="n">
        <v>3</v>
      </c>
      <c r="C15" s="6" t="s">
        <v>74</v>
      </c>
      <c r="D15" s="6" t="s">
        <v>75</v>
      </c>
    </row>
    <row r="16" customFormat="false" ht="27.75" hidden="false" customHeight="true" outlineLevel="0" collapsed="false">
      <c r="B16" s="6" t="n">
        <v>4</v>
      </c>
      <c r="C16" s="6" t="s">
        <v>76</v>
      </c>
      <c r="D16" s="6" t="s">
        <v>77</v>
      </c>
    </row>
    <row r="17" customFormat="false" ht="27.75" hidden="false" customHeight="true" outlineLevel="0" collapsed="false">
      <c r="B17" s="6" t="n">
        <v>5</v>
      </c>
      <c r="C17" s="6" t="s">
        <v>78</v>
      </c>
      <c r="D17" s="6" t="s">
        <v>79</v>
      </c>
    </row>
    <row r="19" customFormat="false" ht="15" hidden="false" customHeight="false" outlineLevel="0" collapsed="false">
      <c r="B19" s="3" t="s">
        <v>80</v>
      </c>
    </row>
    <row r="20" customFormat="false" ht="33.75" hidden="false" customHeight="true" outlineLevel="0" collapsed="false">
      <c r="B20" s="4" t="s">
        <v>81</v>
      </c>
      <c r="C20" s="4" t="s">
        <v>82</v>
      </c>
      <c r="D20" s="4" t="s">
        <v>83</v>
      </c>
      <c r="E20" s="4" t="s">
        <v>84</v>
      </c>
      <c r="F20" s="4" t="s">
        <v>85</v>
      </c>
    </row>
    <row r="21" customFormat="false" ht="25.5" hidden="false" customHeight="true" outlineLevel="0" collapsed="false">
      <c r="B21" s="6" t="n">
        <v>1</v>
      </c>
      <c r="C21" s="6" t="n">
        <v>4</v>
      </c>
      <c r="D21" s="6" t="s">
        <v>86</v>
      </c>
      <c r="E21" s="9"/>
      <c r="F21" s="6" t="s">
        <v>87</v>
      </c>
    </row>
    <row r="22" customFormat="false" ht="25.5" hidden="false" customHeight="true" outlineLevel="0" collapsed="false">
      <c r="B22" s="6" t="n">
        <v>5</v>
      </c>
      <c r="C22" s="6" t="n">
        <v>9</v>
      </c>
      <c r="D22" s="6" t="s">
        <v>88</v>
      </c>
      <c r="E22" s="10"/>
      <c r="F22" s="6" t="s">
        <v>89</v>
      </c>
    </row>
    <row r="23" customFormat="false" ht="25.5" hidden="false" customHeight="true" outlineLevel="0" collapsed="false">
      <c r="B23" s="6" t="n">
        <v>10</v>
      </c>
      <c r="C23" s="6" t="n">
        <v>14</v>
      </c>
      <c r="D23" s="6" t="s">
        <v>90</v>
      </c>
      <c r="E23" s="11"/>
      <c r="F23" s="6" t="s">
        <v>91</v>
      </c>
    </row>
    <row r="24" customFormat="false" ht="25.5" hidden="false" customHeight="true" outlineLevel="0" collapsed="false">
      <c r="B24" s="6" t="n">
        <v>15</v>
      </c>
      <c r="C24" s="6" t="n">
        <v>19</v>
      </c>
      <c r="D24" s="6" t="s">
        <v>92</v>
      </c>
      <c r="E24" s="12"/>
      <c r="F24" s="6" t="s">
        <v>93</v>
      </c>
    </row>
    <row r="25" customFormat="false" ht="25.5" hidden="false" customHeight="true" outlineLevel="0" collapsed="false">
      <c r="B25" s="6" t="n">
        <v>20</v>
      </c>
      <c r="C25" s="6" t="n">
        <v>25</v>
      </c>
      <c r="D25" s="6" t="s">
        <v>94</v>
      </c>
      <c r="E25" s="13"/>
      <c r="F25" s="6" t="s">
        <v>95</v>
      </c>
    </row>
    <row r="27" customFormat="false" ht="15" hidden="false" customHeight="false" outlineLevel="0" collapsed="false">
      <c r="B27" s="3" t="s">
        <v>96</v>
      </c>
    </row>
    <row r="28" customFormat="false" ht="33.75" hidden="false" customHeight="true" outlineLevel="0" collapsed="false">
      <c r="B28" s="4" t="s">
        <v>97</v>
      </c>
      <c r="C28" s="4" t="s">
        <v>98</v>
      </c>
      <c r="D28" s="4" t="s">
        <v>99</v>
      </c>
      <c r="E28" s="4" t="s">
        <v>100</v>
      </c>
      <c r="F28" s="4" t="s">
        <v>101</v>
      </c>
    </row>
    <row r="29" customFormat="false" ht="15" hidden="false" customHeight="false" outlineLevel="0" collapsed="false">
      <c r="B29" s="14" t="s">
        <v>102</v>
      </c>
      <c r="C29" s="14" t="s">
        <v>103</v>
      </c>
      <c r="D29" s="14" t="s">
        <v>104</v>
      </c>
      <c r="E29" s="14" t="s">
        <v>105</v>
      </c>
      <c r="F29" s="14" t="s">
        <v>106</v>
      </c>
    </row>
    <row r="30" customFormat="false" ht="15" hidden="false" customHeight="false" outlineLevel="0" collapsed="false">
      <c r="B30" s="14" t="s">
        <v>107</v>
      </c>
      <c r="C30" s="14" t="s">
        <v>108</v>
      </c>
      <c r="D30" s="14" t="s">
        <v>109</v>
      </c>
      <c r="E30" s="14" t="s">
        <v>110</v>
      </c>
      <c r="F30" s="14" t="s">
        <v>109</v>
      </c>
    </row>
    <row r="31" customFormat="false" ht="15" hidden="false" customHeight="false" outlineLevel="0" collapsed="false">
      <c r="B31" s="14" t="s">
        <v>111</v>
      </c>
      <c r="C31" s="14" t="s">
        <v>112</v>
      </c>
      <c r="D31" s="14" t="s">
        <v>113</v>
      </c>
      <c r="E31" s="14" t="s">
        <v>114</v>
      </c>
      <c r="F31" s="14" t="s">
        <v>115</v>
      </c>
    </row>
    <row r="32" customFormat="false" ht="15" hidden="false" customHeight="false" outlineLevel="0" collapsed="false">
      <c r="B32" s="14" t="s">
        <v>116</v>
      </c>
      <c r="C32" s="14" t="s">
        <v>117</v>
      </c>
      <c r="D32" s="14" t="s">
        <v>118</v>
      </c>
      <c r="E32" s="14" t="s">
        <v>119</v>
      </c>
      <c r="F32" s="14" t="s">
        <v>120</v>
      </c>
    </row>
    <row r="33" customFormat="false" ht="15" hidden="false" customHeight="false" outlineLevel="0" collapsed="false">
      <c r="B33" s="14" t="s">
        <v>121</v>
      </c>
      <c r="C33" s="14"/>
      <c r="D33" s="14"/>
      <c r="E33" s="14"/>
      <c r="F33" s="14" t="s">
        <v>122</v>
      </c>
    </row>
    <row r="34" customFormat="false" ht="15" hidden="false" customHeight="false" outlineLevel="0" collapsed="false">
      <c r="B34" s="14" t="s">
        <v>123</v>
      </c>
      <c r="C34" s="14"/>
      <c r="D34" s="14"/>
      <c r="E34" s="14"/>
      <c r="F34" s="14"/>
    </row>
    <row r="35" customFormat="false" ht="15" hidden="false" customHeight="false" outlineLevel="0" collapsed="false">
      <c r="B35" s="14" t="s">
        <v>124</v>
      </c>
      <c r="C35" s="14"/>
      <c r="D35" s="14"/>
      <c r="E35" s="14"/>
      <c r="F35" s="14"/>
    </row>
    <row r="36" customFormat="false" ht="15" hidden="false" customHeight="false" outlineLevel="0" collapsed="false">
      <c r="B36" s="14" t="s">
        <v>125</v>
      </c>
      <c r="C36" s="14"/>
      <c r="D36" s="14"/>
      <c r="E36" s="14"/>
      <c r="F36" s="1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5" min="4" style="0" width="26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10" min="8" style="0" width="9"/>
    <col collapsed="false" customWidth="true" hidden="false" outlineLevel="0" max="11" min="11" style="0" width="12"/>
    <col collapsed="false" customWidth="true" hidden="false" outlineLevel="0" max="12" min="12" style="0" width="28"/>
    <col collapsed="false" customWidth="true" hidden="false" outlineLevel="0" max="13" min="13" style="0" width="14"/>
    <col collapsed="false" customWidth="true" hidden="false" outlineLevel="0" max="16" min="14" style="0" width="9"/>
    <col collapsed="false" customWidth="true" hidden="false" outlineLevel="0" max="17" min="17" style="0" width="12"/>
    <col collapsed="false" customWidth="true" hidden="false" outlineLevel="0" max="19" min="18" style="0" width="13"/>
    <col collapsed="false" customWidth="true" hidden="false" outlineLevel="0" max="21" min="20" style="0" width="14"/>
  </cols>
  <sheetData>
    <row r="1" customFormat="false" ht="27.75" hidden="false" customHeight="true" outlineLevel="0" collapsed="false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42" hidden="false" customHeight="true" outlineLevel="0" collapsed="false">
      <c r="A3" s="4" t="s">
        <v>126</v>
      </c>
      <c r="B3" s="4" t="s">
        <v>127</v>
      </c>
      <c r="C3" s="4" t="s">
        <v>128</v>
      </c>
      <c r="D3" s="4" t="s">
        <v>129</v>
      </c>
      <c r="E3" s="4" t="s">
        <v>130</v>
      </c>
      <c r="F3" s="4" t="s">
        <v>131</v>
      </c>
      <c r="G3" s="4" t="s">
        <v>132</v>
      </c>
      <c r="H3" s="4" t="s">
        <v>133</v>
      </c>
      <c r="I3" s="4" t="s">
        <v>134</v>
      </c>
      <c r="J3" s="4" t="s">
        <v>135</v>
      </c>
      <c r="K3" s="4" t="s">
        <v>136</v>
      </c>
      <c r="L3" s="4" t="s">
        <v>137</v>
      </c>
      <c r="M3" s="4" t="s">
        <v>138</v>
      </c>
      <c r="N3" s="4" t="s">
        <v>139</v>
      </c>
      <c r="O3" s="4" t="s">
        <v>140</v>
      </c>
      <c r="P3" s="4" t="s">
        <v>141</v>
      </c>
      <c r="Q3" s="4" t="s">
        <v>142</v>
      </c>
      <c r="R3" s="4" t="s">
        <v>143</v>
      </c>
      <c r="S3" s="4" t="s">
        <v>144</v>
      </c>
      <c r="T3" s="4" t="s">
        <v>145</v>
      </c>
      <c r="U3" s="4" t="s">
        <v>146</v>
      </c>
    </row>
    <row r="4" customFormat="false" ht="30" hidden="false" customHeight="true" outlineLevel="0" collapsed="false">
      <c r="A4" s="15" t="str">
        <f aca="false">IF(C4="","","R-"&amp;TEXT(ROW()-3,"000"))</f>
        <v>R-001</v>
      </c>
      <c r="B4" s="6" t="s">
        <v>102</v>
      </c>
      <c r="C4" s="6" t="s">
        <v>147</v>
      </c>
      <c r="D4" s="6" t="s">
        <v>148</v>
      </c>
      <c r="E4" s="6" t="s">
        <v>149</v>
      </c>
      <c r="F4" s="6" t="s">
        <v>150</v>
      </c>
      <c r="G4" s="16" t="s">
        <v>151</v>
      </c>
      <c r="H4" s="15" t="n">
        <v>4</v>
      </c>
      <c r="I4" s="15" t="n">
        <v>4</v>
      </c>
      <c r="J4" s="15" t="n">
        <f aca="false">IF(OR(H4="",I4=""),"",H4*I4)</f>
        <v>16</v>
      </c>
      <c r="K4" s="15" t="str">
        <f aca="false">IF(J4="","",VLOOKUP(J4,RiskZoneTable,3,TRUE()))</f>
        <v>Высокий</v>
      </c>
      <c r="L4" s="6" t="s">
        <v>152</v>
      </c>
      <c r="M4" s="15" t="s">
        <v>110</v>
      </c>
      <c r="N4" s="15" t="n">
        <v>3</v>
      </c>
      <c r="O4" s="15" t="n">
        <v>3</v>
      </c>
      <c r="P4" s="15" t="n">
        <f aca="false">IF(OR(N4="",O4=""),"",N4*O4)</f>
        <v>9</v>
      </c>
      <c r="Q4" s="15" t="str">
        <f aca="false">IF(P4="","",VLOOKUP(P4,RiskZoneTable,3,TRUE()))</f>
        <v>Низкий</v>
      </c>
      <c r="R4" s="6" t="s">
        <v>108</v>
      </c>
      <c r="S4" s="15" t="s">
        <v>109</v>
      </c>
      <c r="T4" s="16" t="s">
        <v>153</v>
      </c>
      <c r="U4" s="15" t="str">
        <f aca="false" t="array" ref="U4:U4">IF(A4="","",_xlfn.TEXTJOIN(", ",TRUE(),IF('План обработки рисков'!$B$4:$B$39=A4,'План обработки рисков'!$A$4:$A$39,"")))</f>
        <v>T-001, T-006</v>
      </c>
    </row>
    <row r="5" customFormat="false" ht="30" hidden="false" customHeight="true" outlineLevel="0" collapsed="false">
      <c r="A5" s="15" t="str">
        <f aca="false">IF(C5="","","R-"&amp;TEXT(ROW()-3,"000"))</f>
        <v>R-002</v>
      </c>
      <c r="B5" s="6" t="s">
        <v>107</v>
      </c>
      <c r="C5" s="6" t="s">
        <v>154</v>
      </c>
      <c r="D5" s="6" t="s">
        <v>155</v>
      </c>
      <c r="E5" s="6" t="s">
        <v>156</v>
      </c>
      <c r="F5" s="6" t="s">
        <v>157</v>
      </c>
      <c r="G5" s="16" t="s">
        <v>158</v>
      </c>
      <c r="H5" s="15" t="n">
        <v>4</v>
      </c>
      <c r="I5" s="15" t="n">
        <v>3</v>
      </c>
      <c r="J5" s="15" t="n">
        <f aca="false">IF(OR(H5="",I5=""),"",H5*I5)</f>
        <v>12</v>
      </c>
      <c r="K5" s="15" t="str">
        <f aca="false">IF(J5="","",VLOOKUP(J5,RiskZoneTable,3,TRUE()))</f>
        <v>Средний</v>
      </c>
      <c r="L5" s="6" t="s">
        <v>159</v>
      </c>
      <c r="M5" s="15" t="s">
        <v>105</v>
      </c>
      <c r="N5" s="15" t="n">
        <v>2</v>
      </c>
      <c r="O5" s="15" t="n">
        <v>3</v>
      </c>
      <c r="P5" s="15" t="n">
        <f aca="false">IF(OR(N5="",O5=""),"",N5*O5)</f>
        <v>6</v>
      </c>
      <c r="Q5" s="15" t="str">
        <f aca="false">IF(P5="","",VLOOKUP(P5,RiskZoneTable,3,TRUE()))</f>
        <v>Низкий</v>
      </c>
      <c r="R5" s="6" t="s">
        <v>108</v>
      </c>
      <c r="S5" s="15" t="s">
        <v>113</v>
      </c>
      <c r="T5" s="16" t="s">
        <v>160</v>
      </c>
      <c r="U5" s="15" t="str">
        <f aca="false" t="array" ref="U5:U5">IF(A5="","",_xlfn.TEXTJOIN(", ",TRUE(),IF('План обработки рисков'!$B$4:$B$39=A5,'План обработки рисков'!$A$4:$A$39,"")))</f>
        <v>T-002</v>
      </c>
    </row>
    <row r="6" customFormat="false" ht="30" hidden="false" customHeight="true" outlineLevel="0" collapsed="false">
      <c r="A6" s="15" t="str">
        <f aca="false">IF(C6="","","R-"&amp;TEXT(ROW()-3,"000"))</f>
        <v>R-003</v>
      </c>
      <c r="B6" s="6" t="s">
        <v>111</v>
      </c>
      <c r="C6" s="6" t="s">
        <v>161</v>
      </c>
      <c r="D6" s="6" t="s">
        <v>162</v>
      </c>
      <c r="E6" s="6" t="s">
        <v>163</v>
      </c>
      <c r="F6" s="6" t="s">
        <v>164</v>
      </c>
      <c r="G6" s="16" t="s">
        <v>165</v>
      </c>
      <c r="H6" s="15" t="n">
        <v>3</v>
      </c>
      <c r="I6" s="15" t="n">
        <v>4</v>
      </c>
      <c r="J6" s="15" t="n">
        <f aca="false">IF(OR(H6="",I6=""),"",H6*I6)</f>
        <v>12</v>
      </c>
      <c r="K6" s="15" t="str">
        <f aca="false">IF(J6="","",VLOOKUP(J6,RiskZoneTable,3,TRUE()))</f>
        <v>Средний</v>
      </c>
      <c r="L6" s="6" t="s">
        <v>166</v>
      </c>
      <c r="M6" s="15" t="s">
        <v>110</v>
      </c>
      <c r="N6" s="15" t="n">
        <v>1</v>
      </c>
      <c r="O6" s="15" t="n">
        <v>3</v>
      </c>
      <c r="P6" s="15" t="n">
        <f aca="false">IF(OR(N6="",O6=""),"",N6*O6)</f>
        <v>3</v>
      </c>
      <c r="Q6" s="15" t="str">
        <f aca="false">IF(P6="","",VLOOKUP(P6,RiskZoneTable,3,TRUE()))</f>
        <v>Незначительный</v>
      </c>
      <c r="R6" s="6" t="s">
        <v>108</v>
      </c>
      <c r="S6" s="15" t="s">
        <v>109</v>
      </c>
      <c r="T6" s="16" t="s">
        <v>167</v>
      </c>
      <c r="U6" s="15" t="str">
        <f aca="false" t="array" ref="U6:U6">IF(A6="","",_xlfn.TEXTJOIN(", ",TRUE(),IF('План обработки рисков'!$B$4:$B$39=A6,'План обработки рисков'!$A$4:$A$39,"")))</f>
        <v>T-003</v>
      </c>
    </row>
    <row r="7" customFormat="false" ht="30" hidden="false" customHeight="true" outlineLevel="0" collapsed="false">
      <c r="A7" s="15" t="str">
        <f aca="false">IF(C7="","","R-"&amp;TEXT(ROW()-3,"000"))</f>
        <v>R-004</v>
      </c>
      <c r="B7" s="6" t="s">
        <v>116</v>
      </c>
      <c r="C7" s="6" t="s">
        <v>168</v>
      </c>
      <c r="D7" s="6" t="s">
        <v>169</v>
      </c>
      <c r="E7" s="6" t="s">
        <v>170</v>
      </c>
      <c r="F7" s="6" t="s">
        <v>171</v>
      </c>
      <c r="G7" s="16" t="s">
        <v>172</v>
      </c>
      <c r="H7" s="15" t="n">
        <v>4</v>
      </c>
      <c r="I7" s="15" t="n">
        <v>4</v>
      </c>
      <c r="J7" s="15" t="n">
        <f aca="false">IF(OR(H7="",I7=""),"",H7*I7)</f>
        <v>16</v>
      </c>
      <c r="K7" s="15" t="str">
        <f aca="false">IF(J7="","",VLOOKUP(J7,RiskZoneTable,3,TRUE()))</f>
        <v>Высокий</v>
      </c>
      <c r="L7" s="6" t="s">
        <v>173</v>
      </c>
      <c r="M7" s="15" t="s">
        <v>110</v>
      </c>
      <c r="N7" s="15" t="n">
        <v>3</v>
      </c>
      <c r="O7" s="15" t="n">
        <v>3</v>
      </c>
      <c r="P7" s="15" t="n">
        <f aca="false">IF(OR(N7="",O7=""),"",N7*O7)</f>
        <v>9</v>
      </c>
      <c r="Q7" s="15" t="str">
        <f aca="false">IF(P7="","",VLOOKUP(P7,RiskZoneTable,3,TRUE()))</f>
        <v>Низкий</v>
      </c>
      <c r="R7" s="6" t="s">
        <v>108</v>
      </c>
      <c r="S7" s="15" t="s">
        <v>104</v>
      </c>
      <c r="T7" s="16" t="s">
        <v>174</v>
      </c>
      <c r="U7" s="15" t="str">
        <f aca="false" t="array" ref="U7:U7">IF(A7="","",_xlfn.TEXTJOIN(", ",TRUE(),IF('План обработки рисков'!$B$4:$B$39=A7,'План обработки рисков'!$A$4:$A$39,"")))</f>
        <v/>
      </c>
    </row>
    <row r="8" customFormat="false" ht="30" hidden="false" customHeight="true" outlineLevel="0" collapsed="false">
      <c r="A8" s="15" t="str">
        <f aca="false">IF(C8="","","R-"&amp;TEXT(ROW()-3,"000"))</f>
        <v>R-005</v>
      </c>
      <c r="B8" s="6" t="s">
        <v>121</v>
      </c>
      <c r="C8" s="6" t="s">
        <v>175</v>
      </c>
      <c r="D8" s="6" t="s">
        <v>176</v>
      </c>
      <c r="E8" s="6" t="s">
        <v>177</v>
      </c>
      <c r="F8" s="6" t="s">
        <v>178</v>
      </c>
      <c r="G8" s="16" t="s">
        <v>179</v>
      </c>
      <c r="H8" s="15" t="n">
        <v>4</v>
      </c>
      <c r="I8" s="15" t="n">
        <v>5</v>
      </c>
      <c r="J8" s="15" t="n">
        <f aca="false">IF(OR(H8="",I8=""),"",H8*I8)</f>
        <v>20</v>
      </c>
      <c r="K8" s="15" t="str">
        <f aca="false">IF(J8="","",VLOOKUP(J8,RiskZoneTable,3,TRUE()))</f>
        <v>Критический</v>
      </c>
      <c r="L8" s="6" t="s">
        <v>180</v>
      </c>
      <c r="M8" s="15" t="s">
        <v>105</v>
      </c>
      <c r="N8" s="15" t="n">
        <v>2</v>
      </c>
      <c r="O8" s="15" t="n">
        <v>3</v>
      </c>
      <c r="P8" s="15" t="n">
        <f aca="false">IF(OR(N8="",O8=""),"",N8*O8)</f>
        <v>6</v>
      </c>
      <c r="Q8" s="15" t="str">
        <f aca="false">IF(P8="","",VLOOKUP(P8,RiskZoneTable,3,TRUE()))</f>
        <v>Низкий</v>
      </c>
      <c r="R8" s="6" t="s">
        <v>108</v>
      </c>
      <c r="S8" s="15" t="s">
        <v>109</v>
      </c>
      <c r="T8" s="16" t="s">
        <v>181</v>
      </c>
      <c r="U8" s="15" t="str">
        <f aca="false" t="array" ref="U8:U8">IF(A8="","",_xlfn.TEXTJOIN(", ",TRUE(),IF('План обработки рисков'!$B$4:$B$39=A8,'План обработки рисков'!$A$4:$A$39,"")))</f>
        <v>T-004</v>
      </c>
    </row>
    <row r="9" customFormat="false" ht="30" hidden="false" customHeight="true" outlineLevel="0" collapsed="false">
      <c r="A9" s="15" t="str">
        <f aca="false">IF(C9="","","R-"&amp;TEXT(ROW()-3,"000"))</f>
        <v>R-006</v>
      </c>
      <c r="B9" s="6" t="s">
        <v>123</v>
      </c>
      <c r="C9" s="6" t="s">
        <v>182</v>
      </c>
      <c r="D9" s="6" t="s">
        <v>183</v>
      </c>
      <c r="E9" s="6" t="s">
        <v>184</v>
      </c>
      <c r="F9" s="6" t="s">
        <v>185</v>
      </c>
      <c r="G9" s="16" t="s">
        <v>186</v>
      </c>
      <c r="H9" s="15" t="n">
        <v>3</v>
      </c>
      <c r="I9" s="15" t="n">
        <v>3</v>
      </c>
      <c r="J9" s="15" t="n">
        <f aca="false">IF(OR(H9="",I9=""),"",H9*I9)</f>
        <v>9</v>
      </c>
      <c r="K9" s="15" t="str">
        <f aca="false">IF(J9="","",VLOOKUP(J9,RiskZoneTable,3,TRUE()))</f>
        <v>Низкий</v>
      </c>
      <c r="L9" s="6" t="s">
        <v>187</v>
      </c>
      <c r="M9" s="15" t="s">
        <v>110</v>
      </c>
      <c r="N9" s="15" t="n">
        <v>2</v>
      </c>
      <c r="O9" s="15" t="n">
        <v>2</v>
      </c>
      <c r="P9" s="15" t="n">
        <f aca="false">IF(OR(N9="",O9=""),"",N9*O9)</f>
        <v>4</v>
      </c>
      <c r="Q9" s="15" t="str">
        <f aca="false">IF(P9="","",VLOOKUP(P9,RiskZoneTable,3,TRUE()))</f>
        <v>Незначительный</v>
      </c>
      <c r="R9" s="6" t="s">
        <v>117</v>
      </c>
      <c r="S9" s="15" t="s">
        <v>104</v>
      </c>
      <c r="T9" s="16" t="s">
        <v>188</v>
      </c>
      <c r="U9" s="15" t="str">
        <f aca="false" t="array" ref="U9:U9">IF(A9="","",_xlfn.TEXTJOIN(", ",TRUE(),IF('План обработки рисков'!$B$4:$B$39=A9,'План обработки рисков'!$A$4:$A$39,"")))</f>
        <v/>
      </c>
    </row>
    <row r="10" customFormat="false" ht="30" hidden="false" customHeight="true" outlineLevel="0" collapsed="false">
      <c r="A10" s="15" t="str">
        <f aca="false">IF(C10="","","R-"&amp;TEXT(ROW()-3,"000"))</f>
        <v>R-007</v>
      </c>
      <c r="B10" s="6" t="s">
        <v>124</v>
      </c>
      <c r="C10" s="6" t="s">
        <v>189</v>
      </c>
      <c r="D10" s="6" t="s">
        <v>190</v>
      </c>
      <c r="E10" s="6" t="s">
        <v>191</v>
      </c>
      <c r="F10" s="6" t="s">
        <v>192</v>
      </c>
      <c r="G10" s="16" t="s">
        <v>193</v>
      </c>
      <c r="H10" s="15" t="n">
        <v>4</v>
      </c>
      <c r="I10" s="15" t="n">
        <v>3</v>
      </c>
      <c r="J10" s="15" t="n">
        <f aca="false">IF(OR(H10="",I10=""),"",H10*I10)</f>
        <v>12</v>
      </c>
      <c r="K10" s="15" t="str">
        <f aca="false">IF(J10="","",VLOOKUP(J10,RiskZoneTable,3,TRUE()))</f>
        <v>Средний</v>
      </c>
      <c r="L10" s="6" t="s">
        <v>194</v>
      </c>
      <c r="M10" s="15" t="s">
        <v>110</v>
      </c>
      <c r="N10" s="15" t="n">
        <v>3</v>
      </c>
      <c r="O10" s="15" t="n">
        <v>2</v>
      </c>
      <c r="P10" s="15" t="n">
        <f aca="false">IF(OR(N10="",O10=""),"",N10*O10)</f>
        <v>6</v>
      </c>
      <c r="Q10" s="15" t="str">
        <f aca="false">IF(P10="","",VLOOKUP(P10,RiskZoneTable,3,TRUE()))</f>
        <v>Низкий</v>
      </c>
      <c r="R10" s="6" t="s">
        <v>108</v>
      </c>
      <c r="S10" s="15" t="s">
        <v>109</v>
      </c>
      <c r="T10" s="16" t="s">
        <v>195</v>
      </c>
      <c r="U10" s="15" t="str">
        <f aca="false" t="array" ref="U10:U10">IF(A10="","",_xlfn.TEXTJOIN(", ",TRUE(),IF('План обработки рисков'!$B$4:$B$39=A10,'План обработки рисков'!$A$4:$A$39,"")))</f>
        <v>T-005</v>
      </c>
    </row>
    <row r="11" customFormat="false" ht="30" hidden="false" customHeight="true" outlineLevel="0" collapsed="false">
      <c r="A11" s="15" t="str">
        <f aca="false">IF(C11="","","R-"&amp;TEXT(ROW()-3,"000"))</f>
        <v/>
      </c>
      <c r="B11" s="6"/>
      <c r="C11" s="6"/>
      <c r="D11" s="6"/>
      <c r="E11" s="6"/>
      <c r="F11" s="6"/>
      <c r="G11" s="16"/>
      <c r="H11" s="15"/>
      <c r="I11" s="15"/>
      <c r="J11" s="15" t="str">
        <f aca="false">IF(OR(H11="",I11=""),"",H11*I11)</f>
        <v/>
      </c>
      <c r="K11" s="15" t="str">
        <f aca="false">IF(J11="","",VLOOKUP(J11,RiskZoneTable,3,TRUE()))</f>
        <v/>
      </c>
      <c r="L11" s="6"/>
      <c r="M11" s="15"/>
      <c r="N11" s="15"/>
      <c r="O11" s="15"/>
      <c r="P11" s="15" t="str">
        <f aca="false">IF(OR(N11="",O11=""),"",N11*O11)</f>
        <v/>
      </c>
      <c r="Q11" s="15" t="str">
        <f aca="false">IF(P11="","",VLOOKUP(P11,RiskZoneTable,3,TRUE()))</f>
        <v/>
      </c>
      <c r="R11" s="6"/>
      <c r="S11" s="15"/>
      <c r="T11" s="16"/>
      <c r="U11" s="15" t="str">
        <f aca="false" t="array" ref="U11:U11">IF(A11="","",_xlfn.TEXTJOIN(", ",TRUE(),IF('План обработки рисков'!$B$4:$B$39=A11,'План обработки рисков'!$A$4:$A$39,"")))</f>
        <v/>
      </c>
    </row>
    <row r="12" customFormat="false" ht="30" hidden="false" customHeight="true" outlineLevel="0" collapsed="false">
      <c r="A12" s="15" t="str">
        <f aca="false">IF(C12="","","R-"&amp;TEXT(ROW()-3,"000"))</f>
        <v/>
      </c>
      <c r="B12" s="6"/>
      <c r="C12" s="6"/>
      <c r="D12" s="6"/>
      <c r="E12" s="6"/>
      <c r="F12" s="6"/>
      <c r="G12" s="16"/>
      <c r="H12" s="15"/>
      <c r="I12" s="15"/>
      <c r="J12" s="15" t="str">
        <f aca="false">IF(OR(H12="",I12=""),"",H12*I12)</f>
        <v/>
      </c>
      <c r="K12" s="15" t="str">
        <f aca="false">IF(J12="","",VLOOKUP(J12,RiskZoneTable,3,TRUE()))</f>
        <v/>
      </c>
      <c r="L12" s="6"/>
      <c r="M12" s="15"/>
      <c r="N12" s="15"/>
      <c r="O12" s="15"/>
      <c r="P12" s="15" t="str">
        <f aca="false">IF(OR(N12="",O12=""),"",N12*O12)</f>
        <v/>
      </c>
      <c r="Q12" s="15" t="str">
        <f aca="false">IF(P12="","",VLOOKUP(P12,RiskZoneTable,3,TRUE()))</f>
        <v/>
      </c>
      <c r="R12" s="6"/>
      <c r="S12" s="15"/>
      <c r="T12" s="16"/>
      <c r="U12" s="15" t="str">
        <f aca="false" t="array" ref="U12:U12">IF(A12="","",_xlfn.TEXTJOIN(", ",TRUE(),IF('План обработки рисков'!$B$4:$B$39=A12,'План обработки рисков'!$A$4:$A$39,"")))</f>
        <v/>
      </c>
    </row>
    <row r="13" customFormat="false" ht="30" hidden="false" customHeight="true" outlineLevel="0" collapsed="false">
      <c r="A13" s="15" t="str">
        <f aca="false">IF(C13="","","R-"&amp;TEXT(ROW()-3,"000"))</f>
        <v/>
      </c>
      <c r="B13" s="6"/>
      <c r="C13" s="6"/>
      <c r="D13" s="6"/>
      <c r="E13" s="6"/>
      <c r="F13" s="6"/>
      <c r="G13" s="16"/>
      <c r="H13" s="15"/>
      <c r="I13" s="15"/>
      <c r="J13" s="15" t="str">
        <f aca="false">IF(OR(H13="",I13=""),"",H13*I13)</f>
        <v/>
      </c>
      <c r="K13" s="15" t="str">
        <f aca="false">IF(J13="","",VLOOKUP(J13,RiskZoneTable,3,TRUE()))</f>
        <v/>
      </c>
      <c r="L13" s="6"/>
      <c r="M13" s="15"/>
      <c r="N13" s="15"/>
      <c r="O13" s="15"/>
      <c r="P13" s="15" t="str">
        <f aca="false">IF(OR(N13="",O13=""),"",N13*O13)</f>
        <v/>
      </c>
      <c r="Q13" s="15" t="str">
        <f aca="false">IF(P13="","",VLOOKUP(P13,RiskZoneTable,3,TRUE()))</f>
        <v/>
      </c>
      <c r="R13" s="6"/>
      <c r="S13" s="15"/>
      <c r="T13" s="16"/>
      <c r="U13" s="15" t="str">
        <f aca="false" t="array" ref="U13:U13">IF(A13="","",_xlfn.TEXTJOIN(", ",TRUE(),IF('План обработки рисков'!$B$4:$B$39=A13,'План обработки рисков'!$A$4:$A$39,"")))</f>
        <v/>
      </c>
    </row>
    <row r="14" customFormat="false" ht="30" hidden="false" customHeight="true" outlineLevel="0" collapsed="false">
      <c r="A14" s="15" t="str">
        <f aca="false">IF(C14="","","R-"&amp;TEXT(ROW()-3,"000"))</f>
        <v/>
      </c>
      <c r="B14" s="6"/>
      <c r="C14" s="6"/>
      <c r="D14" s="6"/>
      <c r="E14" s="6"/>
      <c r="F14" s="6"/>
      <c r="G14" s="16"/>
      <c r="H14" s="15"/>
      <c r="I14" s="15"/>
      <c r="J14" s="15" t="str">
        <f aca="false">IF(OR(H14="",I14=""),"",H14*I14)</f>
        <v/>
      </c>
      <c r="K14" s="15" t="str">
        <f aca="false">IF(J14="","",VLOOKUP(J14,RiskZoneTable,3,TRUE()))</f>
        <v/>
      </c>
      <c r="L14" s="6"/>
      <c r="M14" s="15"/>
      <c r="N14" s="15"/>
      <c r="O14" s="15"/>
      <c r="P14" s="15" t="str">
        <f aca="false">IF(OR(N14="",O14=""),"",N14*O14)</f>
        <v/>
      </c>
      <c r="Q14" s="15" t="str">
        <f aca="false">IF(P14="","",VLOOKUP(P14,RiskZoneTable,3,TRUE()))</f>
        <v/>
      </c>
      <c r="R14" s="6"/>
      <c r="S14" s="15"/>
      <c r="T14" s="16"/>
      <c r="U14" s="15" t="str">
        <f aca="false" t="array" ref="U14:U14">IF(A14="","",_xlfn.TEXTJOIN(", ",TRUE(),IF('План обработки рисков'!$B$4:$B$39=A14,'План обработки рисков'!$A$4:$A$39,"")))</f>
        <v/>
      </c>
    </row>
    <row r="15" customFormat="false" ht="30" hidden="false" customHeight="true" outlineLevel="0" collapsed="false">
      <c r="A15" s="15" t="str">
        <f aca="false">IF(C15="","","R-"&amp;TEXT(ROW()-3,"000"))</f>
        <v/>
      </c>
      <c r="B15" s="6"/>
      <c r="C15" s="6"/>
      <c r="D15" s="6"/>
      <c r="E15" s="6"/>
      <c r="F15" s="6"/>
      <c r="G15" s="16"/>
      <c r="H15" s="15"/>
      <c r="I15" s="15"/>
      <c r="J15" s="15" t="str">
        <f aca="false">IF(OR(H15="",I15=""),"",H15*I15)</f>
        <v/>
      </c>
      <c r="K15" s="15" t="str">
        <f aca="false">IF(J15="","",VLOOKUP(J15,RiskZoneTable,3,TRUE()))</f>
        <v/>
      </c>
      <c r="L15" s="6"/>
      <c r="M15" s="15"/>
      <c r="N15" s="15"/>
      <c r="O15" s="15"/>
      <c r="P15" s="15" t="str">
        <f aca="false">IF(OR(N15="",O15=""),"",N15*O15)</f>
        <v/>
      </c>
      <c r="Q15" s="15" t="str">
        <f aca="false">IF(P15="","",VLOOKUP(P15,RiskZoneTable,3,TRUE()))</f>
        <v/>
      </c>
      <c r="R15" s="6"/>
      <c r="S15" s="15"/>
      <c r="T15" s="16"/>
      <c r="U15" s="15" t="str">
        <f aca="false" t="array" ref="U15:U15">IF(A15="","",_xlfn.TEXTJOIN(", ",TRUE(),IF('План обработки рисков'!$B$4:$B$39=A15,'План обработки рисков'!$A$4:$A$39,"")))</f>
        <v/>
      </c>
    </row>
    <row r="16" customFormat="false" ht="30" hidden="false" customHeight="true" outlineLevel="0" collapsed="false">
      <c r="A16" s="15" t="str">
        <f aca="false">IF(C16="","","R-"&amp;TEXT(ROW()-3,"000"))</f>
        <v/>
      </c>
      <c r="B16" s="6"/>
      <c r="C16" s="6"/>
      <c r="D16" s="6"/>
      <c r="E16" s="6"/>
      <c r="F16" s="6"/>
      <c r="G16" s="16"/>
      <c r="H16" s="15"/>
      <c r="I16" s="15"/>
      <c r="J16" s="15" t="str">
        <f aca="false">IF(OR(H16="",I16=""),"",H16*I16)</f>
        <v/>
      </c>
      <c r="K16" s="15" t="str">
        <f aca="false">IF(J16="","",VLOOKUP(J16,RiskZoneTable,3,TRUE()))</f>
        <v/>
      </c>
      <c r="L16" s="6"/>
      <c r="M16" s="15"/>
      <c r="N16" s="15"/>
      <c r="O16" s="15"/>
      <c r="P16" s="15" t="str">
        <f aca="false">IF(OR(N16="",O16=""),"",N16*O16)</f>
        <v/>
      </c>
      <c r="Q16" s="15" t="str">
        <f aca="false">IF(P16="","",VLOOKUP(P16,RiskZoneTable,3,TRUE()))</f>
        <v/>
      </c>
      <c r="R16" s="6"/>
      <c r="S16" s="15"/>
      <c r="T16" s="16"/>
      <c r="U16" s="15" t="str">
        <f aca="false" t="array" ref="U16:U16">IF(A16="","",_xlfn.TEXTJOIN(", ",TRUE(),IF('План обработки рисков'!$B$4:$B$39=A16,'План обработки рисков'!$A$4:$A$39,"")))</f>
        <v/>
      </c>
    </row>
    <row r="17" customFormat="false" ht="30" hidden="false" customHeight="true" outlineLevel="0" collapsed="false">
      <c r="A17" s="15" t="str">
        <f aca="false">IF(C17="","","R-"&amp;TEXT(ROW()-3,"000"))</f>
        <v/>
      </c>
      <c r="B17" s="6"/>
      <c r="C17" s="6"/>
      <c r="D17" s="6"/>
      <c r="E17" s="6"/>
      <c r="F17" s="6"/>
      <c r="G17" s="16"/>
      <c r="H17" s="15"/>
      <c r="I17" s="15"/>
      <c r="J17" s="15" t="str">
        <f aca="false">IF(OR(H17="",I17=""),"",H17*I17)</f>
        <v/>
      </c>
      <c r="K17" s="15" t="str">
        <f aca="false">IF(J17="","",VLOOKUP(J17,RiskZoneTable,3,TRUE()))</f>
        <v/>
      </c>
      <c r="L17" s="6"/>
      <c r="M17" s="15"/>
      <c r="N17" s="15"/>
      <c r="O17" s="15"/>
      <c r="P17" s="15" t="str">
        <f aca="false">IF(OR(N17="",O17=""),"",N17*O17)</f>
        <v/>
      </c>
      <c r="Q17" s="15" t="str">
        <f aca="false">IF(P17="","",VLOOKUP(P17,RiskZoneTable,3,TRUE()))</f>
        <v/>
      </c>
      <c r="R17" s="6"/>
      <c r="S17" s="15"/>
      <c r="T17" s="16"/>
      <c r="U17" s="15" t="str">
        <f aca="false" t="array" ref="U17:U17">IF(A17="","",_xlfn.TEXTJOIN(", ",TRUE(),IF('План обработки рисков'!$B$4:$B$39=A17,'План обработки рисков'!$A$4:$A$39,"")))</f>
        <v/>
      </c>
    </row>
    <row r="18" customFormat="false" ht="30" hidden="false" customHeight="true" outlineLevel="0" collapsed="false">
      <c r="A18" s="15" t="str">
        <f aca="false">IF(C18="","","R-"&amp;TEXT(ROW()-3,"000"))</f>
        <v/>
      </c>
      <c r="B18" s="6"/>
      <c r="C18" s="6"/>
      <c r="D18" s="6"/>
      <c r="E18" s="6"/>
      <c r="F18" s="6"/>
      <c r="G18" s="16"/>
      <c r="H18" s="15"/>
      <c r="I18" s="15"/>
      <c r="J18" s="15" t="str">
        <f aca="false">IF(OR(H18="",I18=""),"",H18*I18)</f>
        <v/>
      </c>
      <c r="K18" s="15" t="str">
        <f aca="false">IF(J18="","",VLOOKUP(J18,RiskZoneTable,3,TRUE()))</f>
        <v/>
      </c>
      <c r="L18" s="6"/>
      <c r="M18" s="15"/>
      <c r="N18" s="15"/>
      <c r="O18" s="15"/>
      <c r="P18" s="15" t="str">
        <f aca="false">IF(OR(N18="",O18=""),"",N18*O18)</f>
        <v/>
      </c>
      <c r="Q18" s="15" t="str">
        <f aca="false">IF(P18="","",VLOOKUP(P18,RiskZoneTable,3,TRUE()))</f>
        <v/>
      </c>
      <c r="R18" s="6"/>
      <c r="S18" s="15"/>
      <c r="T18" s="16"/>
      <c r="U18" s="15" t="str">
        <f aca="false" t="array" ref="U18:U18">IF(A18="","",_xlfn.TEXTJOIN(", ",TRUE(),IF('План обработки рисков'!$B$4:$B$39=A18,'План обработки рисков'!$A$4:$A$39,"")))</f>
        <v/>
      </c>
    </row>
    <row r="19" customFormat="false" ht="30" hidden="false" customHeight="true" outlineLevel="0" collapsed="false">
      <c r="A19" s="15" t="str">
        <f aca="false">IF(C19="","","R-"&amp;TEXT(ROW()-3,"000"))</f>
        <v/>
      </c>
      <c r="B19" s="6"/>
      <c r="C19" s="6"/>
      <c r="D19" s="6"/>
      <c r="E19" s="6"/>
      <c r="F19" s="6"/>
      <c r="G19" s="16"/>
      <c r="H19" s="15"/>
      <c r="I19" s="15"/>
      <c r="J19" s="15" t="str">
        <f aca="false">IF(OR(H19="",I19=""),"",H19*I19)</f>
        <v/>
      </c>
      <c r="K19" s="15" t="str">
        <f aca="false">IF(J19="","",VLOOKUP(J19,RiskZoneTable,3,TRUE()))</f>
        <v/>
      </c>
      <c r="L19" s="6"/>
      <c r="M19" s="15"/>
      <c r="N19" s="15"/>
      <c r="O19" s="15"/>
      <c r="P19" s="15" t="str">
        <f aca="false">IF(OR(N19="",O19=""),"",N19*O19)</f>
        <v/>
      </c>
      <c r="Q19" s="15" t="str">
        <f aca="false">IF(P19="","",VLOOKUP(P19,RiskZoneTable,3,TRUE()))</f>
        <v/>
      </c>
      <c r="R19" s="6"/>
      <c r="S19" s="15"/>
      <c r="T19" s="16"/>
      <c r="U19" s="15" t="str">
        <f aca="false" t="array" ref="U19:U19">IF(A19="","",_xlfn.TEXTJOIN(", ",TRUE(),IF('План обработки рисков'!$B$4:$B$39=A19,'План обработки рисков'!$A$4:$A$39,"")))</f>
        <v/>
      </c>
    </row>
    <row r="20" customFormat="false" ht="30" hidden="false" customHeight="true" outlineLevel="0" collapsed="false">
      <c r="A20" s="15" t="str">
        <f aca="false">IF(C20="","","R-"&amp;TEXT(ROW()-3,"000"))</f>
        <v/>
      </c>
      <c r="B20" s="6"/>
      <c r="C20" s="6"/>
      <c r="D20" s="6"/>
      <c r="E20" s="6"/>
      <c r="F20" s="6"/>
      <c r="G20" s="16"/>
      <c r="H20" s="15"/>
      <c r="I20" s="15"/>
      <c r="J20" s="15" t="str">
        <f aca="false">IF(OR(H20="",I20=""),"",H20*I20)</f>
        <v/>
      </c>
      <c r="K20" s="15" t="str">
        <f aca="false">IF(J20="","",VLOOKUP(J20,RiskZoneTable,3,TRUE()))</f>
        <v/>
      </c>
      <c r="L20" s="6"/>
      <c r="M20" s="15"/>
      <c r="N20" s="15"/>
      <c r="O20" s="15"/>
      <c r="P20" s="15" t="str">
        <f aca="false">IF(OR(N20="",O20=""),"",N20*O20)</f>
        <v/>
      </c>
      <c r="Q20" s="15" t="str">
        <f aca="false">IF(P20="","",VLOOKUP(P20,RiskZoneTable,3,TRUE()))</f>
        <v/>
      </c>
      <c r="R20" s="6"/>
      <c r="S20" s="15"/>
      <c r="T20" s="16"/>
      <c r="U20" s="15" t="str">
        <f aca="false" t="array" ref="U20:U20">IF(A20="","",_xlfn.TEXTJOIN(", ",TRUE(),IF('План обработки рисков'!$B$4:$B$39=A20,'План обработки рисков'!$A$4:$A$39,"")))</f>
        <v/>
      </c>
    </row>
    <row r="21" customFormat="false" ht="30" hidden="false" customHeight="true" outlineLevel="0" collapsed="false">
      <c r="A21" s="15" t="str">
        <f aca="false">IF(C21="","","R-"&amp;TEXT(ROW()-3,"000"))</f>
        <v/>
      </c>
      <c r="B21" s="6"/>
      <c r="C21" s="6"/>
      <c r="D21" s="6"/>
      <c r="E21" s="6"/>
      <c r="F21" s="6"/>
      <c r="G21" s="16"/>
      <c r="H21" s="15"/>
      <c r="I21" s="15"/>
      <c r="J21" s="15" t="str">
        <f aca="false">IF(OR(H21="",I21=""),"",H21*I21)</f>
        <v/>
      </c>
      <c r="K21" s="15" t="str">
        <f aca="false">IF(J21="","",VLOOKUP(J21,RiskZoneTable,3,TRUE()))</f>
        <v/>
      </c>
      <c r="L21" s="6"/>
      <c r="M21" s="15"/>
      <c r="N21" s="15"/>
      <c r="O21" s="15"/>
      <c r="P21" s="15" t="str">
        <f aca="false">IF(OR(N21="",O21=""),"",N21*O21)</f>
        <v/>
      </c>
      <c r="Q21" s="15" t="str">
        <f aca="false">IF(P21="","",VLOOKUP(P21,RiskZoneTable,3,TRUE()))</f>
        <v/>
      </c>
      <c r="R21" s="6"/>
      <c r="S21" s="15"/>
      <c r="T21" s="16"/>
      <c r="U21" s="15" t="str">
        <f aca="false" t="array" ref="U21:U21">IF(A21="","",_xlfn.TEXTJOIN(", ",TRUE(),IF('План обработки рисков'!$B$4:$B$39=A21,'План обработки рисков'!$A$4:$A$39,"")))</f>
        <v/>
      </c>
    </row>
    <row r="22" customFormat="false" ht="30" hidden="false" customHeight="true" outlineLevel="0" collapsed="false">
      <c r="A22" s="15" t="str">
        <f aca="false">IF(C22="","","R-"&amp;TEXT(ROW()-3,"000"))</f>
        <v/>
      </c>
      <c r="B22" s="6"/>
      <c r="C22" s="6"/>
      <c r="D22" s="6"/>
      <c r="E22" s="6"/>
      <c r="F22" s="6"/>
      <c r="G22" s="16"/>
      <c r="H22" s="15"/>
      <c r="I22" s="15"/>
      <c r="J22" s="15" t="str">
        <f aca="false">IF(OR(H22="",I22=""),"",H22*I22)</f>
        <v/>
      </c>
      <c r="K22" s="15" t="str">
        <f aca="false">IF(J22="","",VLOOKUP(J22,RiskZoneTable,3,TRUE()))</f>
        <v/>
      </c>
      <c r="L22" s="6"/>
      <c r="M22" s="15"/>
      <c r="N22" s="15"/>
      <c r="O22" s="15"/>
      <c r="P22" s="15" t="str">
        <f aca="false">IF(OR(N22="",O22=""),"",N22*O22)</f>
        <v/>
      </c>
      <c r="Q22" s="15" t="str">
        <f aca="false">IF(P22="","",VLOOKUP(P22,RiskZoneTable,3,TRUE()))</f>
        <v/>
      </c>
      <c r="R22" s="6"/>
      <c r="S22" s="15"/>
      <c r="T22" s="16"/>
      <c r="U22" s="15" t="str">
        <f aca="false" t="array" ref="U22:U22">IF(A22="","",_xlfn.TEXTJOIN(", ",TRUE(),IF('План обработки рисков'!$B$4:$B$39=A22,'План обработки рисков'!$A$4:$A$39,"")))</f>
        <v/>
      </c>
    </row>
    <row r="23" customFormat="false" ht="30" hidden="false" customHeight="true" outlineLevel="0" collapsed="false">
      <c r="A23" s="15" t="str">
        <f aca="false">IF(C23="","","R-"&amp;TEXT(ROW()-3,"000"))</f>
        <v/>
      </c>
      <c r="B23" s="6"/>
      <c r="C23" s="6"/>
      <c r="D23" s="6"/>
      <c r="E23" s="6"/>
      <c r="F23" s="6"/>
      <c r="G23" s="16"/>
      <c r="H23" s="15"/>
      <c r="I23" s="15"/>
      <c r="J23" s="15" t="str">
        <f aca="false">IF(OR(H23="",I23=""),"",H23*I23)</f>
        <v/>
      </c>
      <c r="K23" s="15" t="str">
        <f aca="false">IF(J23="","",VLOOKUP(J23,RiskZoneTable,3,TRUE()))</f>
        <v/>
      </c>
      <c r="L23" s="6"/>
      <c r="M23" s="15"/>
      <c r="N23" s="15"/>
      <c r="O23" s="15"/>
      <c r="P23" s="15" t="str">
        <f aca="false">IF(OR(N23="",O23=""),"",N23*O23)</f>
        <v/>
      </c>
      <c r="Q23" s="15" t="str">
        <f aca="false">IF(P23="","",VLOOKUP(P23,RiskZoneTable,3,TRUE()))</f>
        <v/>
      </c>
      <c r="R23" s="6"/>
      <c r="S23" s="15"/>
      <c r="T23" s="16"/>
      <c r="U23" s="15" t="str">
        <f aca="false" t="array" ref="U23:U23">IF(A23="","",_xlfn.TEXTJOIN(", ",TRUE(),IF('План обработки рисков'!$B$4:$B$39=A23,'План обработки рисков'!$A$4:$A$39,"")))</f>
        <v/>
      </c>
    </row>
    <row r="24" customFormat="false" ht="30" hidden="false" customHeight="true" outlineLevel="0" collapsed="false">
      <c r="A24" s="15" t="str">
        <f aca="false">IF(C24="","","R-"&amp;TEXT(ROW()-3,"000"))</f>
        <v/>
      </c>
      <c r="B24" s="6"/>
      <c r="C24" s="6"/>
      <c r="D24" s="6"/>
      <c r="E24" s="6"/>
      <c r="F24" s="6"/>
      <c r="G24" s="16"/>
      <c r="H24" s="15"/>
      <c r="I24" s="15"/>
      <c r="J24" s="15" t="str">
        <f aca="false">IF(OR(H24="",I24=""),"",H24*I24)</f>
        <v/>
      </c>
      <c r="K24" s="15" t="str">
        <f aca="false">IF(J24="","",VLOOKUP(J24,RiskZoneTable,3,TRUE()))</f>
        <v/>
      </c>
      <c r="L24" s="6"/>
      <c r="M24" s="15"/>
      <c r="N24" s="15"/>
      <c r="O24" s="15"/>
      <c r="P24" s="15" t="str">
        <f aca="false">IF(OR(N24="",O24=""),"",N24*O24)</f>
        <v/>
      </c>
      <c r="Q24" s="15" t="str">
        <f aca="false">IF(P24="","",VLOOKUP(P24,RiskZoneTable,3,TRUE()))</f>
        <v/>
      </c>
      <c r="R24" s="6"/>
      <c r="S24" s="15"/>
      <c r="T24" s="16"/>
      <c r="U24" s="15" t="str">
        <f aca="false" t="array" ref="U24:U24">IF(A24="","",_xlfn.TEXTJOIN(", ",TRUE(),IF('План обработки рисков'!$B$4:$B$39=A24,'План обработки рисков'!$A$4:$A$39,"")))</f>
        <v/>
      </c>
    </row>
    <row r="25" customFormat="false" ht="30" hidden="false" customHeight="true" outlineLevel="0" collapsed="false">
      <c r="A25" s="15" t="str">
        <f aca="false">IF(C25="","","R-"&amp;TEXT(ROW()-3,"000"))</f>
        <v/>
      </c>
      <c r="B25" s="6"/>
      <c r="C25" s="6"/>
      <c r="D25" s="6"/>
      <c r="E25" s="6"/>
      <c r="F25" s="6"/>
      <c r="G25" s="16"/>
      <c r="H25" s="15"/>
      <c r="I25" s="15"/>
      <c r="J25" s="15" t="str">
        <f aca="false">IF(OR(H25="",I25=""),"",H25*I25)</f>
        <v/>
      </c>
      <c r="K25" s="15" t="str">
        <f aca="false">IF(J25="","",VLOOKUP(J25,RiskZoneTable,3,TRUE()))</f>
        <v/>
      </c>
      <c r="L25" s="6"/>
      <c r="M25" s="15"/>
      <c r="N25" s="15"/>
      <c r="O25" s="15"/>
      <c r="P25" s="15" t="str">
        <f aca="false">IF(OR(N25="",O25=""),"",N25*O25)</f>
        <v/>
      </c>
      <c r="Q25" s="15" t="str">
        <f aca="false">IF(P25="","",VLOOKUP(P25,RiskZoneTable,3,TRUE()))</f>
        <v/>
      </c>
      <c r="R25" s="6"/>
      <c r="S25" s="15"/>
      <c r="T25" s="16"/>
      <c r="U25" s="15" t="str">
        <f aca="false" t="array" ref="U25:U25">IF(A25="","",_xlfn.TEXTJOIN(", ",TRUE(),IF('План обработки рисков'!$B$4:$B$39=A25,'План обработки рисков'!$A$4:$A$39,"")))</f>
        <v/>
      </c>
    </row>
    <row r="26" customFormat="false" ht="30" hidden="false" customHeight="true" outlineLevel="0" collapsed="false">
      <c r="A26" s="15" t="str">
        <f aca="false">IF(C26="","","R-"&amp;TEXT(ROW()-3,"000"))</f>
        <v/>
      </c>
      <c r="B26" s="6"/>
      <c r="C26" s="6"/>
      <c r="D26" s="6"/>
      <c r="E26" s="6"/>
      <c r="F26" s="6"/>
      <c r="G26" s="16"/>
      <c r="H26" s="15"/>
      <c r="I26" s="15"/>
      <c r="J26" s="15" t="str">
        <f aca="false">IF(OR(H26="",I26=""),"",H26*I26)</f>
        <v/>
      </c>
      <c r="K26" s="15" t="str">
        <f aca="false">IF(J26="","",VLOOKUP(J26,RiskZoneTable,3,TRUE()))</f>
        <v/>
      </c>
      <c r="L26" s="6"/>
      <c r="M26" s="15"/>
      <c r="N26" s="15"/>
      <c r="O26" s="15"/>
      <c r="P26" s="15" t="str">
        <f aca="false">IF(OR(N26="",O26=""),"",N26*O26)</f>
        <v/>
      </c>
      <c r="Q26" s="15" t="str">
        <f aca="false">IF(P26="","",VLOOKUP(P26,RiskZoneTable,3,TRUE()))</f>
        <v/>
      </c>
      <c r="R26" s="6"/>
      <c r="S26" s="15"/>
      <c r="T26" s="16"/>
      <c r="U26" s="15" t="str">
        <f aca="false" t="array" ref="U26:U26">IF(A26="","",_xlfn.TEXTJOIN(", ",TRUE(),IF('План обработки рисков'!$B$4:$B$39=A26,'План обработки рисков'!$A$4:$A$39,"")))</f>
        <v/>
      </c>
    </row>
    <row r="27" customFormat="false" ht="30" hidden="false" customHeight="true" outlineLevel="0" collapsed="false">
      <c r="A27" s="15" t="str">
        <f aca="false">IF(C27="","","R-"&amp;TEXT(ROW()-3,"000"))</f>
        <v/>
      </c>
      <c r="B27" s="6"/>
      <c r="C27" s="6"/>
      <c r="D27" s="6"/>
      <c r="E27" s="6"/>
      <c r="F27" s="6"/>
      <c r="G27" s="16"/>
      <c r="H27" s="15"/>
      <c r="I27" s="15"/>
      <c r="J27" s="15" t="str">
        <f aca="false">IF(OR(H27="",I27=""),"",H27*I27)</f>
        <v/>
      </c>
      <c r="K27" s="15" t="str">
        <f aca="false">IF(J27="","",VLOOKUP(J27,RiskZoneTable,3,TRUE()))</f>
        <v/>
      </c>
      <c r="L27" s="6"/>
      <c r="M27" s="15"/>
      <c r="N27" s="15"/>
      <c r="O27" s="15"/>
      <c r="P27" s="15" t="str">
        <f aca="false">IF(OR(N27="",O27=""),"",N27*O27)</f>
        <v/>
      </c>
      <c r="Q27" s="15" t="str">
        <f aca="false">IF(P27="","",VLOOKUP(P27,RiskZoneTable,3,TRUE()))</f>
        <v/>
      </c>
      <c r="R27" s="6"/>
      <c r="S27" s="15"/>
      <c r="T27" s="16"/>
      <c r="U27" s="15" t="str">
        <f aca="false" t="array" ref="U27:U27">IF(A27="","",_xlfn.TEXTJOIN(", ",TRUE(),IF('План обработки рисков'!$B$4:$B$39=A27,'План обработки рисков'!$A$4:$A$39,"")))</f>
        <v/>
      </c>
    </row>
    <row r="28" customFormat="false" ht="30" hidden="false" customHeight="true" outlineLevel="0" collapsed="false">
      <c r="A28" s="15" t="str">
        <f aca="false">IF(C28="","","R-"&amp;TEXT(ROW()-3,"000"))</f>
        <v/>
      </c>
      <c r="B28" s="6"/>
      <c r="C28" s="6"/>
      <c r="D28" s="6"/>
      <c r="E28" s="6"/>
      <c r="F28" s="6"/>
      <c r="G28" s="16"/>
      <c r="H28" s="15"/>
      <c r="I28" s="15"/>
      <c r="J28" s="15" t="str">
        <f aca="false">IF(OR(H28="",I28=""),"",H28*I28)</f>
        <v/>
      </c>
      <c r="K28" s="15" t="str">
        <f aca="false">IF(J28="","",VLOOKUP(J28,RiskZoneTable,3,TRUE()))</f>
        <v/>
      </c>
      <c r="L28" s="6"/>
      <c r="M28" s="15"/>
      <c r="N28" s="15"/>
      <c r="O28" s="15"/>
      <c r="P28" s="15" t="str">
        <f aca="false">IF(OR(N28="",O28=""),"",N28*O28)</f>
        <v/>
      </c>
      <c r="Q28" s="15" t="str">
        <f aca="false">IF(P28="","",VLOOKUP(P28,RiskZoneTable,3,TRUE()))</f>
        <v/>
      </c>
      <c r="R28" s="6"/>
      <c r="S28" s="15"/>
      <c r="T28" s="16"/>
      <c r="U28" s="15" t="str">
        <f aca="false" t="array" ref="U28:U28">IF(A28="","",_xlfn.TEXTJOIN(", ",TRUE(),IF('План обработки рисков'!$B$4:$B$39=A28,'План обработки рисков'!$A$4:$A$39,"")))</f>
        <v/>
      </c>
    </row>
    <row r="29" customFormat="false" ht="30" hidden="false" customHeight="true" outlineLevel="0" collapsed="false">
      <c r="A29" s="15" t="str">
        <f aca="false">IF(C29="","","R-"&amp;TEXT(ROW()-3,"000"))</f>
        <v/>
      </c>
      <c r="B29" s="6"/>
      <c r="C29" s="6"/>
      <c r="D29" s="6"/>
      <c r="E29" s="6"/>
      <c r="F29" s="6"/>
      <c r="G29" s="16"/>
      <c r="H29" s="15"/>
      <c r="I29" s="15"/>
      <c r="J29" s="15" t="str">
        <f aca="false">IF(OR(H29="",I29=""),"",H29*I29)</f>
        <v/>
      </c>
      <c r="K29" s="15" t="str">
        <f aca="false">IF(J29="","",VLOOKUP(J29,RiskZoneTable,3,TRUE()))</f>
        <v/>
      </c>
      <c r="L29" s="6"/>
      <c r="M29" s="15"/>
      <c r="N29" s="15"/>
      <c r="O29" s="15"/>
      <c r="P29" s="15" t="str">
        <f aca="false">IF(OR(N29="",O29=""),"",N29*O29)</f>
        <v/>
      </c>
      <c r="Q29" s="15" t="str">
        <f aca="false">IF(P29="","",VLOOKUP(P29,RiskZoneTable,3,TRUE()))</f>
        <v/>
      </c>
      <c r="R29" s="6"/>
      <c r="S29" s="15"/>
      <c r="T29" s="16"/>
      <c r="U29" s="15" t="str">
        <f aca="false" t="array" ref="U29:U29">IF(A29="","",_xlfn.TEXTJOIN(", ",TRUE(),IF('План обработки рисков'!$B$4:$B$39=A29,'План обработки рисков'!$A$4:$A$39,"")))</f>
        <v/>
      </c>
    </row>
    <row r="30" customFormat="false" ht="30" hidden="false" customHeight="true" outlineLevel="0" collapsed="false">
      <c r="A30" s="15" t="str">
        <f aca="false">IF(C30="","","R-"&amp;TEXT(ROW()-3,"000"))</f>
        <v/>
      </c>
      <c r="B30" s="6"/>
      <c r="C30" s="6"/>
      <c r="D30" s="6"/>
      <c r="E30" s="6"/>
      <c r="F30" s="6"/>
      <c r="G30" s="16"/>
      <c r="H30" s="15"/>
      <c r="I30" s="15"/>
      <c r="J30" s="15" t="str">
        <f aca="false">IF(OR(H30="",I30=""),"",H30*I30)</f>
        <v/>
      </c>
      <c r="K30" s="15" t="str">
        <f aca="false">IF(J30="","",VLOOKUP(J30,RiskZoneTable,3,TRUE()))</f>
        <v/>
      </c>
      <c r="L30" s="6"/>
      <c r="M30" s="15"/>
      <c r="N30" s="15"/>
      <c r="O30" s="15"/>
      <c r="P30" s="15" t="str">
        <f aca="false">IF(OR(N30="",O30=""),"",N30*O30)</f>
        <v/>
      </c>
      <c r="Q30" s="15" t="str">
        <f aca="false">IF(P30="","",VLOOKUP(P30,RiskZoneTable,3,TRUE()))</f>
        <v/>
      </c>
      <c r="R30" s="6"/>
      <c r="S30" s="15"/>
      <c r="T30" s="16"/>
      <c r="U30" s="15" t="str">
        <f aca="false" t="array" ref="U30:U30">IF(A30="","",_xlfn.TEXTJOIN(", ",TRUE(),IF('План обработки рисков'!$B$4:$B$39=A30,'План обработки рисков'!$A$4:$A$39,"")))</f>
        <v/>
      </c>
    </row>
    <row r="31" customFormat="false" ht="30" hidden="false" customHeight="true" outlineLevel="0" collapsed="false">
      <c r="A31" s="15" t="str">
        <f aca="false">IF(C31="","","R-"&amp;TEXT(ROW()-3,"000"))</f>
        <v/>
      </c>
      <c r="B31" s="6"/>
      <c r="C31" s="6"/>
      <c r="D31" s="6"/>
      <c r="E31" s="6"/>
      <c r="F31" s="6"/>
      <c r="G31" s="16"/>
      <c r="H31" s="15"/>
      <c r="I31" s="15"/>
      <c r="J31" s="15" t="str">
        <f aca="false">IF(OR(H31="",I31=""),"",H31*I31)</f>
        <v/>
      </c>
      <c r="K31" s="15" t="str">
        <f aca="false">IF(J31="","",VLOOKUP(J31,RiskZoneTable,3,TRUE()))</f>
        <v/>
      </c>
      <c r="L31" s="6"/>
      <c r="M31" s="15"/>
      <c r="N31" s="15"/>
      <c r="O31" s="15"/>
      <c r="P31" s="15" t="str">
        <f aca="false">IF(OR(N31="",O31=""),"",N31*O31)</f>
        <v/>
      </c>
      <c r="Q31" s="15" t="str">
        <f aca="false">IF(P31="","",VLOOKUP(P31,RiskZoneTable,3,TRUE()))</f>
        <v/>
      </c>
      <c r="R31" s="6"/>
      <c r="S31" s="15"/>
      <c r="T31" s="16"/>
      <c r="U31" s="15" t="str">
        <f aca="false" t="array" ref="U31:U31">IF(A31="","",_xlfn.TEXTJOIN(", ",TRUE(),IF('План обработки рисков'!$B$4:$B$39=A31,'План обработки рисков'!$A$4:$A$39,"")))</f>
        <v/>
      </c>
    </row>
    <row r="32" customFormat="false" ht="30" hidden="false" customHeight="true" outlineLevel="0" collapsed="false">
      <c r="A32" s="15" t="str">
        <f aca="false">IF(C32="","","R-"&amp;TEXT(ROW()-3,"000"))</f>
        <v/>
      </c>
      <c r="B32" s="6"/>
      <c r="C32" s="6"/>
      <c r="D32" s="6"/>
      <c r="E32" s="6"/>
      <c r="F32" s="6"/>
      <c r="G32" s="16"/>
      <c r="H32" s="15"/>
      <c r="I32" s="15"/>
      <c r="J32" s="15" t="str">
        <f aca="false">IF(OR(H32="",I32=""),"",H32*I32)</f>
        <v/>
      </c>
      <c r="K32" s="15" t="str">
        <f aca="false">IF(J32="","",VLOOKUP(J32,RiskZoneTable,3,TRUE()))</f>
        <v/>
      </c>
      <c r="L32" s="6"/>
      <c r="M32" s="15"/>
      <c r="N32" s="15"/>
      <c r="O32" s="15"/>
      <c r="P32" s="15" t="str">
        <f aca="false">IF(OR(N32="",O32=""),"",N32*O32)</f>
        <v/>
      </c>
      <c r="Q32" s="15" t="str">
        <f aca="false">IF(P32="","",VLOOKUP(P32,RiskZoneTable,3,TRUE()))</f>
        <v/>
      </c>
      <c r="R32" s="6"/>
      <c r="S32" s="15"/>
      <c r="T32" s="16"/>
      <c r="U32" s="15" t="str">
        <f aca="false" t="array" ref="U32:U32">IF(A32="","",_xlfn.TEXTJOIN(", ",TRUE(),IF('План обработки рисков'!$B$4:$B$39=A32,'План обработки рисков'!$A$4:$A$39,"")))</f>
        <v/>
      </c>
    </row>
    <row r="33" customFormat="false" ht="30" hidden="false" customHeight="true" outlineLevel="0" collapsed="false">
      <c r="A33" s="15" t="str">
        <f aca="false">IF(C33="","","R-"&amp;TEXT(ROW()-3,"000"))</f>
        <v/>
      </c>
      <c r="B33" s="6"/>
      <c r="C33" s="6"/>
      <c r="D33" s="6"/>
      <c r="E33" s="6"/>
      <c r="F33" s="6"/>
      <c r="G33" s="16"/>
      <c r="H33" s="15"/>
      <c r="I33" s="15"/>
      <c r="J33" s="15" t="str">
        <f aca="false">IF(OR(H33="",I33=""),"",H33*I33)</f>
        <v/>
      </c>
      <c r="K33" s="15" t="str">
        <f aca="false">IF(J33="","",VLOOKUP(J33,RiskZoneTable,3,TRUE()))</f>
        <v/>
      </c>
      <c r="L33" s="6"/>
      <c r="M33" s="15"/>
      <c r="N33" s="15"/>
      <c r="O33" s="15"/>
      <c r="P33" s="15" t="str">
        <f aca="false">IF(OR(N33="",O33=""),"",N33*O33)</f>
        <v/>
      </c>
      <c r="Q33" s="15" t="str">
        <f aca="false">IF(P33="","",VLOOKUP(P33,RiskZoneTable,3,TRUE()))</f>
        <v/>
      </c>
      <c r="R33" s="6"/>
      <c r="S33" s="15"/>
      <c r="T33" s="16"/>
      <c r="U33" s="15" t="str">
        <f aca="false" t="array" ref="U33:U33">IF(A33="","",_xlfn.TEXTJOIN(", ",TRUE(),IF('План обработки рисков'!$B$4:$B$39=A33,'План обработки рисков'!$A$4:$A$39,"")))</f>
        <v/>
      </c>
    </row>
    <row r="34" customFormat="false" ht="30" hidden="false" customHeight="true" outlineLevel="0" collapsed="false">
      <c r="A34" s="15" t="str">
        <f aca="false">IF(C34="","","R-"&amp;TEXT(ROW()-3,"000"))</f>
        <v/>
      </c>
      <c r="B34" s="6"/>
      <c r="C34" s="6"/>
      <c r="D34" s="6"/>
      <c r="E34" s="6"/>
      <c r="F34" s="6"/>
      <c r="G34" s="16"/>
      <c r="H34" s="15"/>
      <c r="I34" s="15"/>
      <c r="J34" s="15" t="str">
        <f aca="false">IF(OR(H34="",I34=""),"",H34*I34)</f>
        <v/>
      </c>
      <c r="K34" s="15" t="str">
        <f aca="false">IF(J34="","",VLOOKUP(J34,RiskZoneTable,3,TRUE()))</f>
        <v/>
      </c>
      <c r="L34" s="6"/>
      <c r="M34" s="15"/>
      <c r="N34" s="15"/>
      <c r="O34" s="15"/>
      <c r="P34" s="15" t="str">
        <f aca="false">IF(OR(N34="",O34=""),"",N34*O34)</f>
        <v/>
      </c>
      <c r="Q34" s="15" t="str">
        <f aca="false">IF(P34="","",VLOOKUP(P34,RiskZoneTable,3,TRUE()))</f>
        <v/>
      </c>
      <c r="R34" s="6"/>
      <c r="S34" s="15"/>
      <c r="T34" s="16"/>
      <c r="U34" s="15" t="str">
        <f aca="false" t="array" ref="U34:U34">IF(A34="","",_xlfn.TEXTJOIN(", ",TRUE(),IF('План обработки рисков'!$B$4:$B$39=A34,'План обработки рисков'!$A$4:$A$39,"")))</f>
        <v/>
      </c>
    </row>
    <row r="35" customFormat="false" ht="30" hidden="false" customHeight="true" outlineLevel="0" collapsed="false">
      <c r="A35" s="15" t="str">
        <f aca="false">IF(C35="","","R-"&amp;TEXT(ROW()-3,"000"))</f>
        <v/>
      </c>
      <c r="B35" s="6"/>
      <c r="C35" s="6"/>
      <c r="D35" s="6"/>
      <c r="E35" s="6"/>
      <c r="F35" s="6"/>
      <c r="G35" s="16"/>
      <c r="H35" s="15"/>
      <c r="I35" s="15"/>
      <c r="J35" s="15" t="str">
        <f aca="false">IF(OR(H35="",I35=""),"",H35*I35)</f>
        <v/>
      </c>
      <c r="K35" s="15" t="str">
        <f aca="false">IF(J35="","",VLOOKUP(J35,RiskZoneTable,3,TRUE()))</f>
        <v/>
      </c>
      <c r="L35" s="6"/>
      <c r="M35" s="15"/>
      <c r="N35" s="15"/>
      <c r="O35" s="15"/>
      <c r="P35" s="15" t="str">
        <f aca="false">IF(OR(N35="",O35=""),"",N35*O35)</f>
        <v/>
      </c>
      <c r="Q35" s="15" t="str">
        <f aca="false">IF(P35="","",VLOOKUP(P35,RiskZoneTable,3,TRUE()))</f>
        <v/>
      </c>
      <c r="R35" s="6"/>
      <c r="S35" s="15"/>
      <c r="T35" s="16"/>
      <c r="U35" s="15" t="str">
        <f aca="false" t="array" ref="U35:U35">IF(A35="","",_xlfn.TEXTJOIN(", ",TRUE(),IF('План обработки рисков'!$B$4:$B$39=A35,'План обработки рисков'!$A$4:$A$39,"")))</f>
        <v/>
      </c>
    </row>
    <row r="36" customFormat="false" ht="30" hidden="false" customHeight="true" outlineLevel="0" collapsed="false">
      <c r="A36" s="15" t="str">
        <f aca="false">IF(C36="","","R-"&amp;TEXT(ROW()-3,"000"))</f>
        <v/>
      </c>
      <c r="B36" s="6"/>
      <c r="C36" s="6"/>
      <c r="D36" s="6"/>
      <c r="E36" s="6"/>
      <c r="F36" s="6"/>
      <c r="G36" s="16"/>
      <c r="H36" s="15"/>
      <c r="I36" s="15"/>
      <c r="J36" s="15" t="str">
        <f aca="false">IF(OR(H36="",I36=""),"",H36*I36)</f>
        <v/>
      </c>
      <c r="K36" s="15" t="str">
        <f aca="false">IF(J36="","",VLOOKUP(J36,RiskZoneTable,3,TRUE()))</f>
        <v/>
      </c>
      <c r="L36" s="6"/>
      <c r="M36" s="15"/>
      <c r="N36" s="15"/>
      <c r="O36" s="15"/>
      <c r="P36" s="15" t="str">
        <f aca="false">IF(OR(N36="",O36=""),"",N36*O36)</f>
        <v/>
      </c>
      <c r="Q36" s="15" t="str">
        <f aca="false">IF(P36="","",VLOOKUP(P36,RiskZoneTable,3,TRUE()))</f>
        <v/>
      </c>
      <c r="R36" s="6"/>
      <c r="S36" s="15"/>
      <c r="T36" s="16"/>
      <c r="U36" s="15" t="str">
        <f aca="false" t="array" ref="U36:U36">IF(A36="","",_xlfn.TEXTJOIN(", ",TRUE(),IF('План обработки рисков'!$B$4:$B$39=A36,'План обработки рисков'!$A$4:$A$39,"")))</f>
        <v/>
      </c>
    </row>
    <row r="37" customFormat="false" ht="30" hidden="false" customHeight="true" outlineLevel="0" collapsed="false">
      <c r="A37" s="15" t="str">
        <f aca="false">IF(C37="","","R-"&amp;TEXT(ROW()-3,"000"))</f>
        <v/>
      </c>
      <c r="B37" s="6"/>
      <c r="C37" s="6"/>
      <c r="D37" s="6"/>
      <c r="E37" s="6"/>
      <c r="F37" s="6"/>
      <c r="G37" s="16"/>
      <c r="H37" s="15"/>
      <c r="I37" s="15"/>
      <c r="J37" s="15" t="str">
        <f aca="false">IF(OR(H37="",I37=""),"",H37*I37)</f>
        <v/>
      </c>
      <c r="K37" s="15" t="str">
        <f aca="false">IF(J37="","",VLOOKUP(J37,RiskZoneTable,3,TRUE()))</f>
        <v/>
      </c>
      <c r="L37" s="6"/>
      <c r="M37" s="15"/>
      <c r="N37" s="15"/>
      <c r="O37" s="15"/>
      <c r="P37" s="15" t="str">
        <f aca="false">IF(OR(N37="",O37=""),"",N37*O37)</f>
        <v/>
      </c>
      <c r="Q37" s="15" t="str">
        <f aca="false">IF(P37="","",VLOOKUP(P37,RiskZoneTable,3,TRUE()))</f>
        <v/>
      </c>
      <c r="R37" s="6"/>
      <c r="S37" s="15"/>
      <c r="T37" s="16"/>
      <c r="U37" s="15" t="str">
        <f aca="false" t="array" ref="U37:U37">IF(A37="","",_xlfn.TEXTJOIN(", ",TRUE(),IF('План обработки рисков'!$B$4:$B$39=A37,'План обработки рисков'!$A$4:$A$39,"")))</f>
        <v/>
      </c>
    </row>
    <row r="38" customFormat="false" ht="30" hidden="false" customHeight="true" outlineLevel="0" collapsed="false">
      <c r="A38" s="15" t="str">
        <f aca="false">IF(C38="","","R-"&amp;TEXT(ROW()-3,"000"))</f>
        <v/>
      </c>
      <c r="B38" s="6"/>
      <c r="C38" s="6"/>
      <c r="D38" s="6"/>
      <c r="E38" s="6"/>
      <c r="F38" s="6"/>
      <c r="G38" s="16"/>
      <c r="H38" s="15"/>
      <c r="I38" s="15"/>
      <c r="J38" s="15" t="str">
        <f aca="false">IF(OR(H38="",I38=""),"",H38*I38)</f>
        <v/>
      </c>
      <c r="K38" s="15" t="str">
        <f aca="false">IF(J38="","",VLOOKUP(J38,RiskZoneTable,3,TRUE()))</f>
        <v/>
      </c>
      <c r="L38" s="6"/>
      <c r="M38" s="15"/>
      <c r="N38" s="15"/>
      <c r="O38" s="15"/>
      <c r="P38" s="15" t="str">
        <f aca="false">IF(OR(N38="",O38=""),"",N38*O38)</f>
        <v/>
      </c>
      <c r="Q38" s="15" t="str">
        <f aca="false">IF(P38="","",VLOOKUP(P38,RiskZoneTable,3,TRUE()))</f>
        <v/>
      </c>
      <c r="R38" s="6"/>
      <c r="S38" s="15"/>
      <c r="T38" s="16"/>
      <c r="U38" s="15" t="str">
        <f aca="false" t="array" ref="U38:U38">IF(A38="","",_xlfn.TEXTJOIN(", ",TRUE(),IF('План обработки рисков'!$B$4:$B$39=A38,'План обработки рисков'!$A$4:$A$39,"")))</f>
        <v/>
      </c>
    </row>
    <row r="39" customFormat="false" ht="30" hidden="false" customHeight="true" outlineLevel="0" collapsed="false">
      <c r="A39" s="15" t="str">
        <f aca="false">IF(C39="","","R-"&amp;TEXT(ROW()-3,"000"))</f>
        <v/>
      </c>
      <c r="B39" s="6"/>
      <c r="C39" s="6"/>
      <c r="D39" s="6"/>
      <c r="E39" s="6"/>
      <c r="F39" s="6"/>
      <c r="G39" s="16"/>
      <c r="H39" s="15"/>
      <c r="I39" s="15"/>
      <c r="J39" s="15" t="str">
        <f aca="false">IF(OR(H39="",I39=""),"",H39*I39)</f>
        <v/>
      </c>
      <c r="K39" s="15" t="str">
        <f aca="false">IF(J39="","",VLOOKUP(J39,RiskZoneTable,3,TRUE()))</f>
        <v/>
      </c>
      <c r="L39" s="6"/>
      <c r="M39" s="15"/>
      <c r="N39" s="15"/>
      <c r="O39" s="15"/>
      <c r="P39" s="15" t="str">
        <f aca="false">IF(OR(N39="",O39=""),"",N39*O39)</f>
        <v/>
      </c>
      <c r="Q39" s="15" t="str">
        <f aca="false">IF(P39="","",VLOOKUP(P39,RiskZoneTable,3,TRUE()))</f>
        <v/>
      </c>
      <c r="R39" s="6"/>
      <c r="S39" s="15"/>
      <c r="T39" s="16"/>
      <c r="U39" s="15" t="str">
        <f aca="false" t="array" ref="U39:U39">IF(A39="","",_xlfn.TEXTJOIN(", ",TRUE(),IF('План обработки рисков'!$B$4:$B$39=A39,'План обработки рисков'!$A$4:$A$39,"")))</f>
        <v/>
      </c>
    </row>
    <row r="40" customFormat="false" ht="30" hidden="false" customHeight="true" outlineLevel="0" collapsed="false">
      <c r="A40" s="15" t="str">
        <f aca="false">IF(C40="","","R-"&amp;TEXT(ROW()-3,"000"))</f>
        <v/>
      </c>
      <c r="B40" s="6"/>
      <c r="C40" s="6"/>
      <c r="D40" s="6"/>
      <c r="E40" s="6"/>
      <c r="F40" s="6"/>
      <c r="G40" s="16"/>
      <c r="H40" s="15"/>
      <c r="I40" s="15"/>
      <c r="J40" s="15" t="str">
        <f aca="false">IF(OR(H40="",I40=""),"",H40*I40)</f>
        <v/>
      </c>
      <c r="K40" s="15" t="str">
        <f aca="false">IF(J40="","",VLOOKUP(J40,RiskZoneTable,3,TRUE()))</f>
        <v/>
      </c>
      <c r="L40" s="6"/>
      <c r="M40" s="15"/>
      <c r="N40" s="15"/>
      <c r="O40" s="15"/>
      <c r="P40" s="15" t="str">
        <f aca="false">IF(OR(N40="",O40=""),"",N40*O40)</f>
        <v/>
      </c>
      <c r="Q40" s="15" t="str">
        <f aca="false">IF(P40="","",VLOOKUP(P40,RiskZoneTable,3,TRUE()))</f>
        <v/>
      </c>
      <c r="R40" s="6"/>
      <c r="S40" s="15"/>
      <c r="T40" s="16"/>
      <c r="U40" s="15" t="str">
        <f aca="false" t="array" ref="U40:U40">IF(A40="","",_xlfn.TEXTJOIN(", ",TRUE(),IF('План обработки рисков'!$B$4:$B$39=A40,'План обработки рисков'!$A$4:$A$39,"")))</f>
        <v/>
      </c>
    </row>
    <row r="41" customFormat="false" ht="30" hidden="false" customHeight="true" outlineLevel="0" collapsed="false">
      <c r="A41" s="15" t="str">
        <f aca="false">IF(C41="","","R-"&amp;TEXT(ROW()-3,"000"))</f>
        <v/>
      </c>
      <c r="B41" s="6"/>
      <c r="C41" s="6"/>
      <c r="D41" s="6"/>
      <c r="E41" s="6"/>
      <c r="F41" s="6"/>
      <c r="G41" s="16"/>
      <c r="H41" s="15"/>
      <c r="I41" s="15"/>
      <c r="J41" s="15" t="str">
        <f aca="false">IF(OR(H41="",I41=""),"",H41*I41)</f>
        <v/>
      </c>
      <c r="K41" s="15" t="str">
        <f aca="false">IF(J41="","",VLOOKUP(J41,RiskZoneTable,3,TRUE()))</f>
        <v/>
      </c>
      <c r="L41" s="6"/>
      <c r="M41" s="15"/>
      <c r="N41" s="15"/>
      <c r="O41" s="15"/>
      <c r="P41" s="15" t="str">
        <f aca="false">IF(OR(N41="",O41=""),"",N41*O41)</f>
        <v/>
      </c>
      <c r="Q41" s="15" t="str">
        <f aca="false">IF(P41="","",VLOOKUP(P41,RiskZoneTable,3,TRUE()))</f>
        <v/>
      </c>
      <c r="R41" s="6"/>
      <c r="S41" s="15"/>
      <c r="T41" s="16"/>
      <c r="U41" s="15" t="str">
        <f aca="false" t="array" ref="U41:U41">IF(A41="","",_xlfn.TEXTJOIN(", ",TRUE(),IF('План обработки рисков'!$B$4:$B$39=A41,'План обработки рисков'!$A$4:$A$39,"")))</f>
        <v/>
      </c>
    </row>
    <row r="42" customFormat="false" ht="30" hidden="false" customHeight="true" outlineLevel="0" collapsed="false">
      <c r="A42" s="15" t="str">
        <f aca="false">IF(C42="","","R-"&amp;TEXT(ROW()-3,"000"))</f>
        <v/>
      </c>
      <c r="B42" s="6"/>
      <c r="C42" s="6"/>
      <c r="D42" s="6"/>
      <c r="E42" s="6"/>
      <c r="F42" s="6"/>
      <c r="G42" s="16"/>
      <c r="H42" s="15"/>
      <c r="I42" s="15"/>
      <c r="J42" s="15" t="str">
        <f aca="false">IF(OR(H42="",I42=""),"",H42*I42)</f>
        <v/>
      </c>
      <c r="K42" s="15" t="str">
        <f aca="false">IF(J42="","",VLOOKUP(J42,RiskZoneTable,3,TRUE()))</f>
        <v/>
      </c>
      <c r="L42" s="6"/>
      <c r="M42" s="15"/>
      <c r="N42" s="15"/>
      <c r="O42" s="15"/>
      <c r="P42" s="15" t="str">
        <f aca="false">IF(OR(N42="",O42=""),"",N42*O42)</f>
        <v/>
      </c>
      <c r="Q42" s="15" t="str">
        <f aca="false">IF(P42="","",VLOOKUP(P42,RiskZoneTable,3,TRUE()))</f>
        <v/>
      </c>
      <c r="R42" s="6"/>
      <c r="S42" s="15"/>
      <c r="T42" s="16"/>
      <c r="U42" s="15" t="str">
        <f aca="false" t="array" ref="U42:U42">IF(A42="","",_xlfn.TEXTJOIN(", ",TRUE(),IF('План обработки рисков'!$B$4:$B$39=A42,'План обработки рисков'!$A$4:$A$39,"")))</f>
        <v/>
      </c>
    </row>
    <row r="43" customFormat="false" ht="30" hidden="false" customHeight="true" outlineLevel="0" collapsed="false">
      <c r="A43" s="15" t="str">
        <f aca="false">IF(C43="","","R-"&amp;TEXT(ROW()-3,"000"))</f>
        <v/>
      </c>
      <c r="B43" s="6"/>
      <c r="C43" s="6"/>
      <c r="D43" s="6"/>
      <c r="E43" s="6"/>
      <c r="F43" s="6"/>
      <c r="G43" s="16"/>
      <c r="H43" s="15"/>
      <c r="I43" s="15"/>
      <c r="J43" s="15" t="str">
        <f aca="false">IF(OR(H43="",I43=""),"",H43*I43)</f>
        <v/>
      </c>
      <c r="K43" s="15" t="str">
        <f aca="false">IF(J43="","",VLOOKUP(J43,RiskZoneTable,3,TRUE()))</f>
        <v/>
      </c>
      <c r="L43" s="6"/>
      <c r="M43" s="15"/>
      <c r="N43" s="15"/>
      <c r="O43" s="15"/>
      <c r="P43" s="15" t="str">
        <f aca="false">IF(OR(N43="",O43=""),"",N43*O43)</f>
        <v/>
      </c>
      <c r="Q43" s="15" t="str">
        <f aca="false">IF(P43="","",VLOOKUP(P43,RiskZoneTable,3,TRUE()))</f>
        <v/>
      </c>
      <c r="R43" s="6"/>
      <c r="S43" s="15"/>
      <c r="T43" s="16"/>
      <c r="U43" s="15" t="str">
        <f aca="false" t="array" ref="U43:U43">IF(A43="","",_xlfn.TEXTJOIN(", ",TRUE(),IF('План обработки рисков'!$B$4:$B$39=A43,'План обработки рисков'!$A$4:$A$39,"")))</f>
        <v/>
      </c>
    </row>
    <row r="44" customFormat="false" ht="30" hidden="false" customHeight="true" outlineLevel="0" collapsed="false">
      <c r="A44" s="15" t="str">
        <f aca="false">IF(C44="","","R-"&amp;TEXT(ROW()-3,"000"))</f>
        <v/>
      </c>
      <c r="B44" s="6"/>
      <c r="C44" s="6"/>
      <c r="D44" s="6"/>
      <c r="E44" s="6"/>
      <c r="F44" s="6"/>
      <c r="G44" s="16"/>
      <c r="H44" s="15"/>
      <c r="I44" s="15"/>
      <c r="J44" s="15" t="str">
        <f aca="false">IF(OR(H44="",I44=""),"",H44*I44)</f>
        <v/>
      </c>
      <c r="K44" s="15" t="str">
        <f aca="false">IF(J44="","",VLOOKUP(J44,RiskZoneTable,3,TRUE()))</f>
        <v/>
      </c>
      <c r="L44" s="6"/>
      <c r="M44" s="15"/>
      <c r="N44" s="15"/>
      <c r="O44" s="15"/>
      <c r="P44" s="15" t="str">
        <f aca="false">IF(OR(N44="",O44=""),"",N44*O44)</f>
        <v/>
      </c>
      <c r="Q44" s="15" t="str">
        <f aca="false">IF(P44="","",VLOOKUP(P44,RiskZoneTable,3,TRUE()))</f>
        <v/>
      </c>
      <c r="R44" s="6"/>
      <c r="S44" s="15"/>
      <c r="T44" s="16"/>
      <c r="U44" s="15" t="str">
        <f aca="false" t="array" ref="U44:U44">IF(A44="","",_xlfn.TEXTJOIN(", ",TRUE(),IF('План обработки рисков'!$B$4:$B$39=A44,'План обработки рисков'!$A$4:$A$39,"")))</f>
        <v/>
      </c>
    </row>
    <row r="45" customFormat="false" ht="30" hidden="false" customHeight="true" outlineLevel="0" collapsed="false">
      <c r="A45" s="15" t="str">
        <f aca="false">IF(C45="","","R-"&amp;TEXT(ROW()-3,"000"))</f>
        <v/>
      </c>
      <c r="B45" s="6"/>
      <c r="C45" s="6"/>
      <c r="D45" s="6"/>
      <c r="E45" s="6"/>
      <c r="F45" s="6"/>
      <c r="G45" s="16"/>
      <c r="H45" s="15"/>
      <c r="I45" s="15"/>
      <c r="J45" s="15" t="str">
        <f aca="false">IF(OR(H45="",I45=""),"",H45*I45)</f>
        <v/>
      </c>
      <c r="K45" s="15" t="str">
        <f aca="false">IF(J45="","",VLOOKUP(J45,RiskZoneTable,3,TRUE()))</f>
        <v/>
      </c>
      <c r="L45" s="6"/>
      <c r="M45" s="15"/>
      <c r="N45" s="15"/>
      <c r="O45" s="15"/>
      <c r="P45" s="15" t="str">
        <f aca="false">IF(OR(N45="",O45=""),"",N45*O45)</f>
        <v/>
      </c>
      <c r="Q45" s="15" t="str">
        <f aca="false">IF(P45="","",VLOOKUP(P45,RiskZoneTable,3,TRUE()))</f>
        <v/>
      </c>
      <c r="R45" s="6"/>
      <c r="S45" s="15"/>
      <c r="T45" s="16"/>
      <c r="U45" s="15" t="str">
        <f aca="false" t="array" ref="U45:U45">IF(A45="","",_xlfn.TEXTJOIN(", ",TRUE(),IF('План обработки рисков'!$B$4:$B$39=A45,'План обработки рисков'!$A$4:$A$39,"")))</f>
        <v/>
      </c>
    </row>
    <row r="46" customFormat="false" ht="30" hidden="false" customHeight="true" outlineLevel="0" collapsed="false">
      <c r="A46" s="15" t="str">
        <f aca="false">IF(C46="","","R-"&amp;TEXT(ROW()-3,"000"))</f>
        <v/>
      </c>
      <c r="B46" s="6"/>
      <c r="C46" s="6"/>
      <c r="D46" s="6"/>
      <c r="E46" s="6"/>
      <c r="F46" s="6"/>
      <c r="G46" s="16"/>
      <c r="H46" s="15"/>
      <c r="I46" s="15"/>
      <c r="J46" s="15" t="str">
        <f aca="false">IF(OR(H46="",I46=""),"",H46*I46)</f>
        <v/>
      </c>
      <c r="K46" s="15" t="str">
        <f aca="false">IF(J46="","",VLOOKUP(J46,RiskZoneTable,3,TRUE()))</f>
        <v/>
      </c>
      <c r="L46" s="6"/>
      <c r="M46" s="15"/>
      <c r="N46" s="15"/>
      <c r="O46" s="15"/>
      <c r="P46" s="15" t="str">
        <f aca="false">IF(OR(N46="",O46=""),"",N46*O46)</f>
        <v/>
      </c>
      <c r="Q46" s="15" t="str">
        <f aca="false">IF(P46="","",VLOOKUP(P46,RiskZoneTable,3,TRUE()))</f>
        <v/>
      </c>
      <c r="R46" s="6"/>
      <c r="S46" s="15"/>
      <c r="T46" s="16"/>
      <c r="U46" s="15" t="str">
        <f aca="false" t="array" ref="U46:U46">IF(A46="","",_xlfn.TEXTJOIN(", ",TRUE(),IF('План обработки рисков'!$B$4:$B$39=A46,'План обработки рисков'!$A$4:$A$39,"")))</f>
        <v/>
      </c>
    </row>
    <row r="47" customFormat="false" ht="30" hidden="false" customHeight="true" outlineLevel="0" collapsed="false">
      <c r="A47" s="15" t="str">
        <f aca="false">IF(C47="","","R-"&amp;TEXT(ROW()-3,"000"))</f>
        <v/>
      </c>
      <c r="B47" s="6"/>
      <c r="C47" s="6"/>
      <c r="D47" s="6"/>
      <c r="E47" s="6"/>
      <c r="F47" s="6"/>
      <c r="G47" s="16"/>
      <c r="H47" s="15"/>
      <c r="I47" s="15"/>
      <c r="J47" s="15" t="str">
        <f aca="false">IF(OR(H47="",I47=""),"",H47*I47)</f>
        <v/>
      </c>
      <c r="K47" s="15" t="str">
        <f aca="false">IF(J47="","",VLOOKUP(J47,RiskZoneTable,3,TRUE()))</f>
        <v/>
      </c>
      <c r="L47" s="6"/>
      <c r="M47" s="15"/>
      <c r="N47" s="15"/>
      <c r="O47" s="15"/>
      <c r="P47" s="15" t="str">
        <f aca="false">IF(OR(N47="",O47=""),"",N47*O47)</f>
        <v/>
      </c>
      <c r="Q47" s="15" t="str">
        <f aca="false">IF(P47="","",VLOOKUP(P47,RiskZoneTable,3,TRUE()))</f>
        <v/>
      </c>
      <c r="R47" s="6"/>
      <c r="S47" s="15"/>
      <c r="T47" s="16"/>
      <c r="U47" s="15" t="str">
        <f aca="false" t="array" ref="U47:U47">IF(A47="","",_xlfn.TEXTJOIN(", ",TRUE(),IF('План обработки рисков'!$B$4:$B$39=A47,'План обработки рисков'!$A$4:$A$39,"")))</f>
        <v/>
      </c>
    </row>
    <row r="48" customFormat="false" ht="30" hidden="false" customHeight="true" outlineLevel="0" collapsed="false">
      <c r="A48" s="15" t="str">
        <f aca="false">IF(C48="","","R-"&amp;TEXT(ROW()-3,"000"))</f>
        <v/>
      </c>
      <c r="B48" s="6"/>
      <c r="C48" s="6"/>
      <c r="D48" s="6"/>
      <c r="E48" s="6"/>
      <c r="F48" s="6"/>
      <c r="G48" s="16"/>
      <c r="H48" s="15"/>
      <c r="I48" s="15"/>
      <c r="J48" s="15" t="str">
        <f aca="false">IF(OR(H48="",I48=""),"",H48*I48)</f>
        <v/>
      </c>
      <c r="K48" s="15" t="str">
        <f aca="false">IF(J48="","",VLOOKUP(J48,RiskZoneTable,3,TRUE()))</f>
        <v/>
      </c>
      <c r="L48" s="6"/>
      <c r="M48" s="15"/>
      <c r="N48" s="15"/>
      <c r="O48" s="15"/>
      <c r="P48" s="15" t="str">
        <f aca="false">IF(OR(N48="",O48=""),"",N48*O48)</f>
        <v/>
      </c>
      <c r="Q48" s="15" t="str">
        <f aca="false">IF(P48="","",VLOOKUP(P48,RiskZoneTable,3,TRUE()))</f>
        <v/>
      </c>
      <c r="R48" s="6"/>
      <c r="S48" s="15"/>
      <c r="T48" s="16"/>
      <c r="U48" s="15" t="str">
        <f aca="false" t="array" ref="U48:U48">IF(A48="","",_xlfn.TEXTJOIN(", ",TRUE(),IF('План обработки рисков'!$B$4:$B$39=A48,'План обработки рисков'!$A$4:$A$39,"")))</f>
        <v/>
      </c>
    </row>
    <row r="49" customFormat="false" ht="30" hidden="false" customHeight="true" outlineLevel="0" collapsed="false">
      <c r="A49" s="15" t="str">
        <f aca="false">IF(C49="","","R-"&amp;TEXT(ROW()-3,"000"))</f>
        <v/>
      </c>
      <c r="B49" s="6"/>
      <c r="C49" s="6"/>
      <c r="D49" s="6"/>
      <c r="E49" s="6"/>
      <c r="F49" s="6"/>
      <c r="G49" s="16"/>
      <c r="H49" s="15"/>
      <c r="I49" s="15"/>
      <c r="J49" s="15" t="str">
        <f aca="false">IF(OR(H49="",I49=""),"",H49*I49)</f>
        <v/>
      </c>
      <c r="K49" s="15" t="str">
        <f aca="false">IF(J49="","",VLOOKUP(J49,RiskZoneTable,3,TRUE()))</f>
        <v/>
      </c>
      <c r="L49" s="6"/>
      <c r="M49" s="15"/>
      <c r="N49" s="15"/>
      <c r="O49" s="15"/>
      <c r="P49" s="15" t="str">
        <f aca="false">IF(OR(N49="",O49=""),"",N49*O49)</f>
        <v/>
      </c>
      <c r="Q49" s="15" t="str">
        <f aca="false">IF(P49="","",VLOOKUP(P49,RiskZoneTable,3,TRUE()))</f>
        <v/>
      </c>
      <c r="R49" s="6"/>
      <c r="S49" s="15"/>
      <c r="T49" s="16"/>
      <c r="U49" s="15" t="str">
        <f aca="false" t="array" ref="U49:U49">IF(A49="","",_xlfn.TEXTJOIN(", ",TRUE(),IF('План обработки рисков'!$B$4:$B$39=A49,'План обработки рисков'!$A$4:$A$39,"")))</f>
        <v/>
      </c>
    </row>
    <row r="50" customFormat="false" ht="30" hidden="false" customHeight="true" outlineLevel="0" collapsed="false">
      <c r="A50" s="15" t="str">
        <f aca="false">IF(C50="","","R-"&amp;TEXT(ROW()-3,"000"))</f>
        <v/>
      </c>
      <c r="B50" s="6"/>
      <c r="C50" s="6"/>
      <c r="D50" s="6"/>
      <c r="E50" s="6"/>
      <c r="F50" s="6"/>
      <c r="G50" s="16"/>
      <c r="H50" s="15"/>
      <c r="I50" s="15"/>
      <c r="J50" s="15" t="str">
        <f aca="false">IF(OR(H50="",I50=""),"",H50*I50)</f>
        <v/>
      </c>
      <c r="K50" s="15" t="str">
        <f aca="false">IF(J50="","",VLOOKUP(J50,RiskZoneTable,3,TRUE()))</f>
        <v/>
      </c>
      <c r="L50" s="6"/>
      <c r="M50" s="15"/>
      <c r="N50" s="15"/>
      <c r="O50" s="15"/>
      <c r="P50" s="15" t="str">
        <f aca="false">IF(OR(N50="",O50=""),"",N50*O50)</f>
        <v/>
      </c>
      <c r="Q50" s="15" t="str">
        <f aca="false">IF(P50="","",VLOOKUP(P50,RiskZoneTable,3,TRUE()))</f>
        <v/>
      </c>
      <c r="R50" s="6"/>
      <c r="S50" s="15"/>
      <c r="T50" s="16"/>
      <c r="U50" s="15" t="str">
        <f aca="false" t="array" ref="U50:U50">IF(A50="","",_xlfn.TEXTJOIN(", ",TRUE(),IF('План обработки рисков'!$B$4:$B$39=A50,'План обработки рисков'!$A$4:$A$39,"")))</f>
        <v/>
      </c>
    </row>
  </sheetData>
  <mergeCells count="1">
    <mergeCell ref="A1:U1"/>
  </mergeCells>
  <conditionalFormatting sqref="J4:J50">
    <cfRule type="expression" priority="2" aboveAverage="0" equalAverage="0" bottom="0" percent="0" rank="0" text="" dxfId="0">
      <formula>AND($J4&lt;&gt;"",$J4&gt;=1,$J4&lt;=4)</formula>
    </cfRule>
    <cfRule type="expression" priority="3" aboveAverage="0" equalAverage="0" bottom="0" percent="0" rank="0" text="" dxfId="1">
      <formula>AND($J4&lt;&gt;"",$J4&gt;=5,$J4&lt;=9)</formula>
    </cfRule>
    <cfRule type="expression" priority="4" aboveAverage="0" equalAverage="0" bottom="0" percent="0" rank="0" text="" dxfId="2">
      <formula>AND($J4&lt;&gt;"",$J4&gt;=10,$J4&lt;=14)</formula>
    </cfRule>
    <cfRule type="expression" priority="5" aboveAverage="0" equalAverage="0" bottom="0" percent="0" rank="0" text="" dxfId="3">
      <formula>AND($J4&lt;&gt;"",$J4&gt;=15,$J4&lt;=19)</formula>
    </cfRule>
    <cfRule type="expression" priority="6" aboveAverage="0" equalAverage="0" bottom="0" percent="0" rank="0" text="" dxfId="4">
      <formula>AND($J4&lt;&gt;"",$J4&gt;=20,$J4&lt;=25)</formula>
    </cfRule>
  </conditionalFormatting>
  <conditionalFormatting sqref="K4:K50">
    <cfRule type="expression" priority="7" aboveAverage="0" equalAverage="0" bottom="0" percent="0" rank="0" text="" dxfId="0">
      <formula>$K4="Незначительный"</formula>
    </cfRule>
    <cfRule type="expression" priority="8" aboveAverage="0" equalAverage="0" bottom="0" percent="0" rank="0" text="" dxfId="1">
      <formula>$K4="Низкий"</formula>
    </cfRule>
    <cfRule type="expression" priority="9" aboveAverage="0" equalAverage="0" bottom="0" percent="0" rank="0" text="" dxfId="2">
      <formula>$K4="Средний"</formula>
    </cfRule>
    <cfRule type="expression" priority="10" aboveAverage="0" equalAverage="0" bottom="0" percent="0" rank="0" text="" dxfId="3">
      <formula>$K4="Высокий"</formula>
    </cfRule>
    <cfRule type="expression" priority="11" aboveAverage="0" equalAverage="0" bottom="0" percent="0" rank="0" text="" dxfId="4">
      <formula>$K4="Критический"</formula>
    </cfRule>
  </conditionalFormatting>
  <conditionalFormatting sqref="P4:P50">
    <cfRule type="expression" priority="12" aboveAverage="0" equalAverage="0" bottom="0" percent="0" rank="0" text="" dxfId="0">
      <formula>AND($P4&lt;&gt;"",$P4&gt;=1,$P4&lt;=4)</formula>
    </cfRule>
    <cfRule type="expression" priority="13" aboveAverage="0" equalAverage="0" bottom="0" percent="0" rank="0" text="" dxfId="1">
      <formula>AND($P4&lt;&gt;"",$P4&gt;=5,$P4&lt;=9)</formula>
    </cfRule>
    <cfRule type="expression" priority="14" aboveAverage="0" equalAverage="0" bottom="0" percent="0" rank="0" text="" dxfId="2">
      <formula>AND($P4&lt;&gt;"",$P4&gt;=10,$P4&lt;=14)</formula>
    </cfRule>
    <cfRule type="expression" priority="15" aboveAverage="0" equalAverage="0" bottom="0" percent="0" rank="0" text="" dxfId="3">
      <formula>AND($P4&lt;&gt;"",$P4&gt;=15,$P4&lt;=19)</formula>
    </cfRule>
    <cfRule type="expression" priority="16" aboveAverage="0" equalAverage="0" bottom="0" percent="0" rank="0" text="" dxfId="4">
      <formula>AND($P4&lt;&gt;"",$P4&gt;=20,$P4&lt;=25)</formula>
    </cfRule>
  </conditionalFormatting>
  <conditionalFormatting sqref="Q4:Q50">
    <cfRule type="expression" priority="17" aboveAverage="0" equalAverage="0" bottom="0" percent="0" rank="0" text="" dxfId="0">
      <formula>$Q4="Незначительный"</formula>
    </cfRule>
    <cfRule type="expression" priority="18" aboveAverage="0" equalAverage="0" bottom="0" percent="0" rank="0" text="" dxfId="1">
      <formula>$Q4="Низкий"</formula>
    </cfRule>
    <cfRule type="expression" priority="19" aboveAverage="0" equalAverage="0" bottom="0" percent="0" rank="0" text="" dxfId="2">
      <formula>$Q4="Средний"</formula>
    </cfRule>
    <cfRule type="expression" priority="20" aboveAverage="0" equalAverage="0" bottom="0" percent="0" rank="0" text="" dxfId="3">
      <formula>$Q4="Высокий"</formula>
    </cfRule>
    <cfRule type="expression" priority="21" aboveAverage="0" equalAverage="0" bottom="0" percent="0" rank="0" text="" dxfId="4">
      <formula>$Q4="Критический"</formula>
    </cfRule>
  </conditionalFormatting>
  <dataValidations count="8">
    <dataValidation allowBlank="true" errorStyle="stop" operator="between" showDropDown="false" showErrorMessage="false" showInputMessage="false" sqref="B4:B50" type="list">
      <formula1>CategoryList</formula1>
      <formula2>0</formula2>
    </dataValidation>
    <dataValidation allowBlank="true" errorStyle="stop" operator="between" showDropDown="false" showErrorMessage="false" showInputMessage="false" sqref="H4:H50" type="list">
      <formula1>ScoreList</formula1>
      <formula2>0</formula2>
    </dataValidation>
    <dataValidation allowBlank="true" errorStyle="stop" operator="between" showDropDown="false" showErrorMessage="false" showInputMessage="false" sqref="I4:I50" type="list">
      <formula1>ScoreList</formula1>
      <formula2>0</formula2>
    </dataValidation>
    <dataValidation allowBlank="true" errorStyle="stop" operator="between" showDropDown="false" showErrorMessage="false" showInputMessage="false" sqref="M4:M50" type="list">
      <formula1>ControlEffList</formula1>
      <formula2>0</formula2>
    </dataValidation>
    <dataValidation allowBlank="true" errorStyle="stop" operator="between" showDropDown="false" showErrorMessage="false" showInputMessage="false" sqref="N4:N50" type="list">
      <formula1>ScoreList</formula1>
      <formula2>0</formula2>
    </dataValidation>
    <dataValidation allowBlank="true" errorStyle="stop" operator="between" showDropDown="false" showErrorMessage="false" showInputMessage="false" sqref="O4:O50" type="list">
      <formula1>ScoreList</formula1>
      <formula2>0</formula2>
    </dataValidation>
    <dataValidation allowBlank="true" errorStyle="stop" operator="between" showDropDown="false" showErrorMessage="false" showInputMessage="false" sqref="R4:R50" type="list">
      <formula1>StrategyList</formula1>
      <formula2>0</formula2>
    </dataValidation>
    <dataValidation allowBlank="true" errorStyle="stop" operator="between" showDropDown="false" showErrorMessage="false" showInputMessage="false" sqref="S4:S50" type="list">
      <formula1>RiskStatusList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13"/>
    <col collapsed="false" customWidth="true" hidden="false" outlineLevel="0" max="10" min="10" style="0" width="26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4" min="14" style="0" width="26"/>
  </cols>
  <sheetData>
    <row r="1" customFormat="false" ht="27.7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39.75" hidden="false" customHeight="true" outlineLevel="0" collapsed="false">
      <c r="A3" s="4" t="s">
        <v>196</v>
      </c>
      <c r="B3" s="4" t="s">
        <v>197</v>
      </c>
      <c r="C3" s="4" t="s">
        <v>128</v>
      </c>
      <c r="D3" s="4" t="s">
        <v>143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</row>
    <row r="4" customFormat="false" ht="30" hidden="false" customHeight="true" outlineLevel="0" collapsed="false">
      <c r="A4" s="15" t="str">
        <f aca="false">IF(B4="","","T-"&amp;TEXT(ROW()-3,"000"))</f>
        <v>T-001</v>
      </c>
      <c r="B4" s="15" t="s">
        <v>208</v>
      </c>
      <c r="C4" s="6" t="str">
        <f aca="false">IF(B4="","",IFERROR(VLOOKUP(B4,'Реестр рисков'!$A$4:$U$50,3,FALSE()),""))</f>
        <v>Сбой ключевого производственного оборудования</v>
      </c>
      <c r="D4" s="15" t="str">
        <f aca="false">IF(B4="","",IFERROR(VLOOKUP(B4,'Реестр рисков'!$A$4:$U$50,18,FALSE()),""))</f>
        <v>Снижение</v>
      </c>
      <c r="E4" s="6" t="s">
        <v>209</v>
      </c>
      <c r="F4" s="6" t="s">
        <v>210</v>
      </c>
      <c r="G4" s="6" t="s">
        <v>211</v>
      </c>
      <c r="H4" s="16" t="s">
        <v>193</v>
      </c>
      <c r="I4" s="16" t="s">
        <v>212</v>
      </c>
      <c r="J4" s="6" t="s">
        <v>213</v>
      </c>
      <c r="K4" s="15" t="n">
        <v>6</v>
      </c>
      <c r="L4" s="15" t="s">
        <v>109</v>
      </c>
      <c r="M4" s="17" t="n">
        <v>0.4</v>
      </c>
      <c r="N4" s="6" t="s">
        <v>214</v>
      </c>
    </row>
    <row r="5" customFormat="false" ht="30" hidden="false" customHeight="true" outlineLevel="0" collapsed="false">
      <c r="A5" s="15" t="str">
        <f aca="false">IF(B5="","","T-"&amp;TEXT(ROW()-3,"000"))</f>
        <v>T-002</v>
      </c>
      <c r="B5" s="15" t="s">
        <v>215</v>
      </c>
      <c r="C5" s="6" t="str">
        <f aca="false">IF(B5="","",IFERROR(VLOOKUP(B5,'Реестр рисков'!$A$4:$U$50,3,FALSE()),""))</f>
        <v>Валютный риск при закупках в иностранной валюте</v>
      </c>
      <c r="D5" s="15" t="str">
        <f aca="false">IF(B5="","",IFERROR(VLOOKUP(B5,'Реестр рисков'!$A$4:$U$50,18,FALSE()),""))</f>
        <v>Снижение</v>
      </c>
      <c r="E5" s="6" t="s">
        <v>216</v>
      </c>
      <c r="F5" s="6" t="s">
        <v>217</v>
      </c>
      <c r="G5" s="6" t="s">
        <v>218</v>
      </c>
      <c r="H5" s="16" t="s">
        <v>158</v>
      </c>
      <c r="I5" s="16" t="s">
        <v>219</v>
      </c>
      <c r="J5" s="6" t="s">
        <v>220</v>
      </c>
      <c r="K5" s="15" t="n">
        <v>4</v>
      </c>
      <c r="L5" s="15" t="s">
        <v>115</v>
      </c>
      <c r="M5" s="17" t="n">
        <v>1</v>
      </c>
      <c r="N5" s="6" t="s">
        <v>221</v>
      </c>
    </row>
    <row r="6" customFormat="false" ht="30" hidden="false" customHeight="true" outlineLevel="0" collapsed="false">
      <c r="A6" s="15" t="str">
        <f aca="false">IF(B6="","","T-"&amp;TEXT(ROW()-3,"000"))</f>
        <v>T-003</v>
      </c>
      <c r="B6" s="15" t="s">
        <v>222</v>
      </c>
      <c r="C6" s="6" t="str">
        <f aca="false">IF(B6="","",IFERROR(VLOOKUP(B6,'Реестр рисков'!$A$4:$U$50,3,FALSE()),""))</f>
        <v>Несоответствие требованиям законодательства о персональных данных</v>
      </c>
      <c r="D6" s="15" t="str">
        <f aca="false">IF(B6="","",IFERROR(VLOOKUP(B6,'Реестр рисков'!$A$4:$U$50,18,FALSE()),""))</f>
        <v>Снижение</v>
      </c>
      <c r="E6" s="6" t="s">
        <v>223</v>
      </c>
      <c r="F6" s="6" t="s">
        <v>224</v>
      </c>
      <c r="G6" s="6" t="s">
        <v>225</v>
      </c>
      <c r="H6" s="16" t="s">
        <v>158</v>
      </c>
      <c r="I6" s="16" t="s">
        <v>226</v>
      </c>
      <c r="J6" s="6" t="s">
        <v>227</v>
      </c>
      <c r="K6" s="15" t="n">
        <v>3</v>
      </c>
      <c r="L6" s="15" t="s">
        <v>109</v>
      </c>
      <c r="M6" s="17" t="n">
        <v>0.6</v>
      </c>
      <c r="N6" s="6" t="s">
        <v>228</v>
      </c>
    </row>
    <row r="7" customFormat="false" ht="30" hidden="false" customHeight="true" outlineLevel="0" collapsed="false">
      <c r="A7" s="15" t="str">
        <f aca="false">IF(B7="","","T-"&amp;TEXT(ROW()-3,"000"))</f>
        <v>T-004</v>
      </c>
      <c r="B7" s="15" t="s">
        <v>229</v>
      </c>
      <c r="C7" s="6" t="str">
        <f aca="false">IF(B7="","",IFERROR(VLOOKUP(B7,'Реестр рисков'!$A$4:$U$50,3,FALSE()),""))</f>
        <v>Утечка конфиденциальных данных вследствие кибератаки</v>
      </c>
      <c r="D7" s="15" t="str">
        <f aca="false">IF(B7="","",IFERROR(VLOOKUP(B7,'Реестр рисков'!$A$4:$U$50,18,FALSE()),""))</f>
        <v>Снижение</v>
      </c>
      <c r="E7" s="6" t="s">
        <v>230</v>
      </c>
      <c r="F7" s="6" t="s">
        <v>178</v>
      </c>
      <c r="G7" s="6" t="s">
        <v>231</v>
      </c>
      <c r="H7" s="16" t="s">
        <v>151</v>
      </c>
      <c r="I7" s="16" t="s">
        <v>232</v>
      </c>
      <c r="J7" s="6" t="s">
        <v>233</v>
      </c>
      <c r="K7" s="15" t="n">
        <v>6</v>
      </c>
      <c r="L7" s="15" t="s">
        <v>109</v>
      </c>
      <c r="M7" s="17" t="n">
        <v>0.7</v>
      </c>
      <c r="N7" s="6" t="s">
        <v>234</v>
      </c>
    </row>
    <row r="8" customFormat="false" ht="30" hidden="false" customHeight="true" outlineLevel="0" collapsed="false">
      <c r="A8" s="15" t="str">
        <f aca="false">IF(B8="","","T-"&amp;TEXT(ROW()-3,"000"))</f>
        <v>T-005</v>
      </c>
      <c r="B8" s="15" t="s">
        <v>235</v>
      </c>
      <c r="C8" s="6" t="str">
        <f aca="false">IF(B8="","",IFERROR(VLOOKUP(B8,'Реестр рисков'!$A$4:$U$50,3,FALSE()),""))</f>
        <v>Срыв сроков запуска ИТ-проекта внедрения ERP-системы</v>
      </c>
      <c r="D8" s="15" t="str">
        <f aca="false">IF(B8="","",IFERROR(VLOOKUP(B8,'Реестр рисков'!$A$4:$U$50,18,FALSE()),""))</f>
        <v>Снижение</v>
      </c>
      <c r="E8" s="6" t="s">
        <v>236</v>
      </c>
      <c r="F8" s="6" t="s">
        <v>192</v>
      </c>
      <c r="G8" s="6" t="s">
        <v>237</v>
      </c>
      <c r="H8" s="16" t="s">
        <v>238</v>
      </c>
      <c r="I8" s="16" t="s">
        <v>239</v>
      </c>
      <c r="J8" s="6" t="s">
        <v>240</v>
      </c>
      <c r="K8" s="15" t="n">
        <v>6</v>
      </c>
      <c r="L8" s="15" t="s">
        <v>106</v>
      </c>
      <c r="M8" s="17" t="n">
        <v>0</v>
      </c>
      <c r="N8" s="6" t="s">
        <v>241</v>
      </c>
    </row>
    <row r="9" customFormat="false" ht="30" hidden="false" customHeight="true" outlineLevel="0" collapsed="false">
      <c r="A9" s="15" t="str">
        <f aca="false">IF(B9="","","T-"&amp;TEXT(ROW()-3,"000"))</f>
        <v>T-006</v>
      </c>
      <c r="B9" s="15" t="s">
        <v>208</v>
      </c>
      <c r="C9" s="6" t="str">
        <f aca="false">IF(B9="","",IFERROR(VLOOKUP(B9,'Реестр рисков'!$A$4:$U$50,3,FALSE()),""))</f>
        <v>Сбой ключевого производственного оборудования</v>
      </c>
      <c r="D9" s="15" t="str">
        <f aca="false">IF(B9="","",IFERROR(VLOOKUP(B9,'Реестр рисков'!$A$4:$U$50,18,FALSE()),""))</f>
        <v>Снижение</v>
      </c>
      <c r="E9" s="6" t="s">
        <v>242</v>
      </c>
      <c r="F9" s="6" t="s">
        <v>150</v>
      </c>
      <c r="G9" s="6" t="s">
        <v>243</v>
      </c>
      <c r="H9" s="16" t="s">
        <v>244</v>
      </c>
      <c r="I9" s="16" t="s">
        <v>245</v>
      </c>
      <c r="J9" s="6" t="s">
        <v>246</v>
      </c>
      <c r="K9" s="15" t="n">
        <v>6</v>
      </c>
      <c r="L9" s="15" t="s">
        <v>109</v>
      </c>
      <c r="M9" s="17" t="n">
        <v>0.55</v>
      </c>
      <c r="N9" s="6"/>
    </row>
    <row r="10" customFormat="false" ht="30" hidden="false" customHeight="true" outlineLevel="0" collapsed="false">
      <c r="A10" s="15" t="str">
        <f aca="false">IF(B10="","","T-"&amp;TEXT(ROW()-3,"000"))</f>
        <v/>
      </c>
      <c r="B10" s="15"/>
      <c r="C10" s="6" t="str">
        <f aca="false">IF(B10="","",IFERROR(VLOOKUP(B10,'Реестр рисков'!$A$4:$U$50,3,FALSE()),""))</f>
        <v/>
      </c>
      <c r="D10" s="15" t="str">
        <f aca="false">IF(B10="","",IFERROR(VLOOKUP(B10,'Реестр рисков'!$A$4:$U$50,18,FALSE()),""))</f>
        <v/>
      </c>
      <c r="E10" s="6"/>
      <c r="F10" s="6"/>
      <c r="G10" s="6"/>
      <c r="H10" s="16"/>
      <c r="I10" s="16"/>
      <c r="J10" s="6"/>
      <c r="K10" s="15"/>
      <c r="L10" s="15"/>
      <c r="M10" s="17"/>
      <c r="N10" s="6"/>
    </row>
    <row r="11" customFormat="false" ht="30" hidden="false" customHeight="true" outlineLevel="0" collapsed="false">
      <c r="A11" s="15" t="str">
        <f aca="false">IF(B11="","","T-"&amp;TEXT(ROW()-3,"000"))</f>
        <v/>
      </c>
      <c r="B11" s="15"/>
      <c r="C11" s="6" t="str">
        <f aca="false">IF(B11="","",IFERROR(VLOOKUP(B11,'Реестр рисков'!$A$4:$U$50,3,FALSE()),""))</f>
        <v/>
      </c>
      <c r="D11" s="15" t="str">
        <f aca="false">IF(B11="","",IFERROR(VLOOKUP(B11,'Реестр рисков'!$A$4:$U$50,18,FALSE()),""))</f>
        <v/>
      </c>
      <c r="E11" s="6"/>
      <c r="F11" s="6"/>
      <c r="G11" s="6"/>
      <c r="H11" s="16"/>
      <c r="I11" s="16"/>
      <c r="J11" s="6"/>
      <c r="K11" s="15"/>
      <c r="L11" s="15"/>
      <c r="M11" s="17"/>
      <c r="N11" s="6"/>
    </row>
    <row r="12" customFormat="false" ht="30" hidden="false" customHeight="true" outlineLevel="0" collapsed="false">
      <c r="A12" s="15" t="str">
        <f aca="false">IF(B12="","","T-"&amp;TEXT(ROW()-3,"000"))</f>
        <v/>
      </c>
      <c r="B12" s="15"/>
      <c r="C12" s="6" t="str">
        <f aca="false">IF(B12="","",IFERROR(VLOOKUP(B12,'Реестр рисков'!$A$4:$U$50,3,FALSE()),""))</f>
        <v/>
      </c>
      <c r="D12" s="15" t="str">
        <f aca="false">IF(B12="","",IFERROR(VLOOKUP(B12,'Реестр рисков'!$A$4:$U$50,18,FALSE()),""))</f>
        <v/>
      </c>
      <c r="E12" s="6"/>
      <c r="F12" s="6"/>
      <c r="G12" s="6"/>
      <c r="H12" s="16"/>
      <c r="I12" s="16"/>
      <c r="J12" s="6"/>
      <c r="K12" s="15"/>
      <c r="L12" s="15"/>
      <c r="M12" s="17"/>
      <c r="N12" s="6"/>
    </row>
    <row r="13" customFormat="false" ht="30" hidden="false" customHeight="true" outlineLevel="0" collapsed="false">
      <c r="A13" s="15" t="str">
        <f aca="false">IF(B13="","","T-"&amp;TEXT(ROW()-3,"000"))</f>
        <v/>
      </c>
      <c r="B13" s="15"/>
      <c r="C13" s="6" t="str">
        <f aca="false">IF(B13="","",IFERROR(VLOOKUP(B13,'Реестр рисков'!$A$4:$U$50,3,FALSE()),""))</f>
        <v/>
      </c>
      <c r="D13" s="15" t="str">
        <f aca="false">IF(B13="","",IFERROR(VLOOKUP(B13,'Реестр рисков'!$A$4:$U$50,18,FALSE()),""))</f>
        <v/>
      </c>
      <c r="E13" s="6"/>
      <c r="F13" s="6"/>
      <c r="G13" s="6"/>
      <c r="H13" s="16"/>
      <c r="I13" s="16"/>
      <c r="J13" s="6"/>
      <c r="K13" s="15"/>
      <c r="L13" s="15"/>
      <c r="M13" s="17"/>
      <c r="N13" s="6"/>
    </row>
    <row r="14" customFormat="false" ht="30" hidden="false" customHeight="true" outlineLevel="0" collapsed="false">
      <c r="A14" s="15" t="str">
        <f aca="false">IF(B14="","","T-"&amp;TEXT(ROW()-3,"000"))</f>
        <v/>
      </c>
      <c r="B14" s="15"/>
      <c r="C14" s="6" t="str">
        <f aca="false">IF(B14="","",IFERROR(VLOOKUP(B14,'Реестр рисков'!$A$4:$U$50,3,FALSE()),""))</f>
        <v/>
      </c>
      <c r="D14" s="15" t="str">
        <f aca="false">IF(B14="","",IFERROR(VLOOKUP(B14,'Реестр рисков'!$A$4:$U$50,18,FALSE()),""))</f>
        <v/>
      </c>
      <c r="E14" s="6"/>
      <c r="F14" s="6"/>
      <c r="G14" s="6"/>
      <c r="H14" s="16"/>
      <c r="I14" s="16"/>
      <c r="J14" s="6"/>
      <c r="K14" s="15"/>
      <c r="L14" s="15"/>
      <c r="M14" s="17"/>
      <c r="N14" s="6"/>
    </row>
    <row r="15" customFormat="false" ht="30" hidden="false" customHeight="true" outlineLevel="0" collapsed="false">
      <c r="A15" s="15" t="str">
        <f aca="false">IF(B15="","","T-"&amp;TEXT(ROW()-3,"000"))</f>
        <v/>
      </c>
      <c r="B15" s="15"/>
      <c r="C15" s="6" t="str">
        <f aca="false">IF(B15="","",IFERROR(VLOOKUP(B15,'Реестр рисков'!$A$4:$U$50,3,FALSE()),""))</f>
        <v/>
      </c>
      <c r="D15" s="15" t="str">
        <f aca="false">IF(B15="","",IFERROR(VLOOKUP(B15,'Реестр рисков'!$A$4:$U$50,18,FALSE()),""))</f>
        <v/>
      </c>
      <c r="E15" s="6"/>
      <c r="F15" s="6"/>
      <c r="G15" s="6"/>
      <c r="H15" s="16"/>
      <c r="I15" s="16"/>
      <c r="J15" s="6"/>
      <c r="K15" s="15"/>
      <c r="L15" s="15"/>
      <c r="M15" s="17"/>
      <c r="N15" s="6"/>
    </row>
    <row r="16" customFormat="false" ht="30" hidden="false" customHeight="true" outlineLevel="0" collapsed="false">
      <c r="A16" s="15" t="str">
        <f aca="false">IF(B16="","","T-"&amp;TEXT(ROW()-3,"000"))</f>
        <v/>
      </c>
      <c r="B16" s="15"/>
      <c r="C16" s="6" t="str">
        <f aca="false">IF(B16="","",IFERROR(VLOOKUP(B16,'Реестр рисков'!$A$4:$U$50,3,FALSE()),""))</f>
        <v/>
      </c>
      <c r="D16" s="15" t="str">
        <f aca="false">IF(B16="","",IFERROR(VLOOKUP(B16,'Реестр рисков'!$A$4:$U$50,18,FALSE()),""))</f>
        <v/>
      </c>
      <c r="E16" s="6"/>
      <c r="F16" s="6"/>
      <c r="G16" s="6"/>
      <c r="H16" s="16"/>
      <c r="I16" s="16"/>
      <c r="J16" s="6"/>
      <c r="K16" s="15"/>
      <c r="L16" s="15"/>
      <c r="M16" s="17"/>
      <c r="N16" s="6"/>
    </row>
    <row r="17" customFormat="false" ht="30" hidden="false" customHeight="true" outlineLevel="0" collapsed="false">
      <c r="A17" s="15" t="str">
        <f aca="false">IF(B17="","","T-"&amp;TEXT(ROW()-3,"000"))</f>
        <v/>
      </c>
      <c r="B17" s="15"/>
      <c r="C17" s="6" t="str">
        <f aca="false">IF(B17="","",IFERROR(VLOOKUP(B17,'Реестр рисков'!$A$4:$U$50,3,FALSE()),""))</f>
        <v/>
      </c>
      <c r="D17" s="15" t="str">
        <f aca="false">IF(B17="","",IFERROR(VLOOKUP(B17,'Реестр рисков'!$A$4:$U$50,18,FALSE()),""))</f>
        <v/>
      </c>
      <c r="E17" s="6"/>
      <c r="F17" s="6"/>
      <c r="G17" s="6"/>
      <c r="H17" s="16"/>
      <c r="I17" s="16"/>
      <c r="J17" s="6"/>
      <c r="K17" s="15"/>
      <c r="L17" s="15"/>
      <c r="M17" s="17"/>
      <c r="N17" s="6"/>
    </row>
    <row r="18" customFormat="false" ht="30" hidden="false" customHeight="true" outlineLevel="0" collapsed="false">
      <c r="A18" s="15" t="str">
        <f aca="false">IF(B18="","","T-"&amp;TEXT(ROW()-3,"000"))</f>
        <v/>
      </c>
      <c r="B18" s="15"/>
      <c r="C18" s="6" t="str">
        <f aca="false">IF(B18="","",IFERROR(VLOOKUP(B18,'Реестр рисков'!$A$4:$U$50,3,FALSE()),""))</f>
        <v/>
      </c>
      <c r="D18" s="15" t="str">
        <f aca="false">IF(B18="","",IFERROR(VLOOKUP(B18,'Реестр рисков'!$A$4:$U$50,18,FALSE()),""))</f>
        <v/>
      </c>
      <c r="E18" s="6"/>
      <c r="F18" s="6"/>
      <c r="G18" s="6"/>
      <c r="H18" s="16"/>
      <c r="I18" s="16"/>
      <c r="J18" s="6"/>
      <c r="K18" s="15"/>
      <c r="L18" s="15"/>
      <c r="M18" s="17"/>
      <c r="N18" s="6"/>
    </row>
    <row r="19" customFormat="false" ht="30" hidden="false" customHeight="true" outlineLevel="0" collapsed="false">
      <c r="A19" s="15" t="str">
        <f aca="false">IF(B19="","","T-"&amp;TEXT(ROW()-3,"000"))</f>
        <v/>
      </c>
      <c r="B19" s="15"/>
      <c r="C19" s="6" t="str">
        <f aca="false">IF(B19="","",IFERROR(VLOOKUP(B19,'Реестр рисков'!$A$4:$U$50,3,FALSE()),""))</f>
        <v/>
      </c>
      <c r="D19" s="15" t="str">
        <f aca="false">IF(B19="","",IFERROR(VLOOKUP(B19,'Реестр рисков'!$A$4:$U$50,18,FALSE()),""))</f>
        <v/>
      </c>
      <c r="E19" s="6"/>
      <c r="F19" s="6"/>
      <c r="G19" s="6"/>
      <c r="H19" s="16"/>
      <c r="I19" s="16"/>
      <c r="J19" s="6"/>
      <c r="K19" s="15"/>
      <c r="L19" s="15"/>
      <c r="M19" s="17"/>
      <c r="N19" s="6"/>
    </row>
    <row r="20" customFormat="false" ht="30" hidden="false" customHeight="true" outlineLevel="0" collapsed="false">
      <c r="A20" s="15" t="str">
        <f aca="false">IF(B20="","","T-"&amp;TEXT(ROW()-3,"000"))</f>
        <v/>
      </c>
      <c r="B20" s="15"/>
      <c r="C20" s="6" t="str">
        <f aca="false">IF(B20="","",IFERROR(VLOOKUP(B20,'Реестр рисков'!$A$4:$U$50,3,FALSE()),""))</f>
        <v/>
      </c>
      <c r="D20" s="15" t="str">
        <f aca="false">IF(B20="","",IFERROR(VLOOKUP(B20,'Реестр рисков'!$A$4:$U$50,18,FALSE()),""))</f>
        <v/>
      </c>
      <c r="E20" s="6"/>
      <c r="F20" s="6"/>
      <c r="G20" s="6"/>
      <c r="H20" s="16"/>
      <c r="I20" s="16"/>
      <c r="J20" s="6"/>
      <c r="K20" s="15"/>
      <c r="L20" s="15"/>
      <c r="M20" s="17"/>
      <c r="N20" s="6"/>
    </row>
    <row r="21" customFormat="false" ht="30" hidden="false" customHeight="true" outlineLevel="0" collapsed="false">
      <c r="A21" s="15" t="str">
        <f aca="false">IF(B21="","","T-"&amp;TEXT(ROW()-3,"000"))</f>
        <v/>
      </c>
      <c r="B21" s="15"/>
      <c r="C21" s="6" t="str">
        <f aca="false">IF(B21="","",IFERROR(VLOOKUP(B21,'Реестр рисков'!$A$4:$U$50,3,FALSE()),""))</f>
        <v/>
      </c>
      <c r="D21" s="15" t="str">
        <f aca="false">IF(B21="","",IFERROR(VLOOKUP(B21,'Реестр рисков'!$A$4:$U$50,18,FALSE()),""))</f>
        <v/>
      </c>
      <c r="E21" s="6"/>
      <c r="F21" s="6"/>
      <c r="G21" s="6"/>
      <c r="H21" s="16"/>
      <c r="I21" s="16"/>
      <c r="J21" s="6"/>
      <c r="K21" s="15"/>
      <c r="L21" s="15"/>
      <c r="M21" s="17"/>
      <c r="N21" s="6"/>
    </row>
    <row r="22" customFormat="false" ht="30" hidden="false" customHeight="true" outlineLevel="0" collapsed="false">
      <c r="A22" s="15" t="str">
        <f aca="false">IF(B22="","","T-"&amp;TEXT(ROW()-3,"000"))</f>
        <v/>
      </c>
      <c r="B22" s="15"/>
      <c r="C22" s="6" t="str">
        <f aca="false">IF(B22="","",IFERROR(VLOOKUP(B22,'Реестр рисков'!$A$4:$U$50,3,FALSE()),""))</f>
        <v/>
      </c>
      <c r="D22" s="15" t="str">
        <f aca="false">IF(B22="","",IFERROR(VLOOKUP(B22,'Реестр рисков'!$A$4:$U$50,18,FALSE()),""))</f>
        <v/>
      </c>
      <c r="E22" s="6"/>
      <c r="F22" s="6"/>
      <c r="G22" s="6"/>
      <c r="H22" s="16"/>
      <c r="I22" s="16"/>
      <c r="J22" s="6"/>
      <c r="K22" s="15"/>
      <c r="L22" s="15"/>
      <c r="M22" s="17"/>
      <c r="N22" s="6"/>
    </row>
    <row r="23" customFormat="false" ht="30" hidden="false" customHeight="true" outlineLevel="0" collapsed="false">
      <c r="A23" s="15" t="str">
        <f aca="false">IF(B23="","","T-"&amp;TEXT(ROW()-3,"000"))</f>
        <v/>
      </c>
      <c r="B23" s="15"/>
      <c r="C23" s="6" t="str">
        <f aca="false">IF(B23="","",IFERROR(VLOOKUP(B23,'Реестр рисков'!$A$4:$U$50,3,FALSE()),""))</f>
        <v/>
      </c>
      <c r="D23" s="15" t="str">
        <f aca="false">IF(B23="","",IFERROR(VLOOKUP(B23,'Реестр рисков'!$A$4:$U$50,18,FALSE()),""))</f>
        <v/>
      </c>
      <c r="E23" s="6"/>
      <c r="F23" s="6"/>
      <c r="G23" s="6"/>
      <c r="H23" s="16"/>
      <c r="I23" s="16"/>
      <c r="J23" s="6"/>
      <c r="K23" s="15"/>
      <c r="L23" s="15"/>
      <c r="M23" s="17"/>
      <c r="N23" s="6"/>
    </row>
    <row r="24" customFormat="false" ht="30" hidden="false" customHeight="true" outlineLevel="0" collapsed="false">
      <c r="A24" s="15" t="str">
        <f aca="false">IF(B24="","","T-"&amp;TEXT(ROW()-3,"000"))</f>
        <v/>
      </c>
      <c r="B24" s="15"/>
      <c r="C24" s="6" t="str">
        <f aca="false">IF(B24="","",IFERROR(VLOOKUP(B24,'Реестр рисков'!$A$4:$U$50,3,FALSE()),""))</f>
        <v/>
      </c>
      <c r="D24" s="15" t="str">
        <f aca="false">IF(B24="","",IFERROR(VLOOKUP(B24,'Реестр рисков'!$A$4:$U$50,18,FALSE()),""))</f>
        <v/>
      </c>
      <c r="E24" s="6"/>
      <c r="F24" s="6"/>
      <c r="G24" s="6"/>
      <c r="H24" s="16"/>
      <c r="I24" s="16"/>
      <c r="J24" s="6"/>
      <c r="K24" s="15"/>
      <c r="L24" s="15"/>
      <c r="M24" s="17"/>
      <c r="N24" s="6"/>
    </row>
    <row r="25" customFormat="false" ht="30" hidden="false" customHeight="true" outlineLevel="0" collapsed="false">
      <c r="A25" s="15" t="str">
        <f aca="false">IF(B25="","","T-"&amp;TEXT(ROW()-3,"000"))</f>
        <v/>
      </c>
      <c r="B25" s="15"/>
      <c r="C25" s="6" t="str">
        <f aca="false">IF(B25="","",IFERROR(VLOOKUP(B25,'Реестр рисков'!$A$4:$U$50,3,FALSE()),""))</f>
        <v/>
      </c>
      <c r="D25" s="15" t="str">
        <f aca="false">IF(B25="","",IFERROR(VLOOKUP(B25,'Реестр рисков'!$A$4:$U$50,18,FALSE()),""))</f>
        <v/>
      </c>
      <c r="E25" s="6"/>
      <c r="F25" s="6"/>
      <c r="G25" s="6"/>
      <c r="H25" s="16"/>
      <c r="I25" s="16"/>
      <c r="J25" s="6"/>
      <c r="K25" s="15"/>
      <c r="L25" s="15"/>
      <c r="M25" s="17"/>
      <c r="N25" s="6"/>
    </row>
    <row r="26" customFormat="false" ht="30" hidden="false" customHeight="true" outlineLevel="0" collapsed="false">
      <c r="A26" s="15" t="str">
        <f aca="false">IF(B26="","","T-"&amp;TEXT(ROW()-3,"000"))</f>
        <v/>
      </c>
      <c r="B26" s="15"/>
      <c r="C26" s="6" t="str">
        <f aca="false">IF(B26="","",IFERROR(VLOOKUP(B26,'Реестр рисков'!$A$4:$U$50,3,FALSE()),""))</f>
        <v/>
      </c>
      <c r="D26" s="15" t="str">
        <f aca="false">IF(B26="","",IFERROR(VLOOKUP(B26,'Реестр рисков'!$A$4:$U$50,18,FALSE()),""))</f>
        <v/>
      </c>
      <c r="E26" s="6"/>
      <c r="F26" s="6"/>
      <c r="G26" s="6"/>
      <c r="H26" s="16"/>
      <c r="I26" s="16"/>
      <c r="J26" s="6"/>
      <c r="K26" s="15"/>
      <c r="L26" s="15"/>
      <c r="M26" s="17"/>
      <c r="N26" s="6"/>
    </row>
    <row r="27" customFormat="false" ht="30" hidden="false" customHeight="true" outlineLevel="0" collapsed="false">
      <c r="A27" s="15" t="str">
        <f aca="false">IF(B27="","","T-"&amp;TEXT(ROW()-3,"000"))</f>
        <v/>
      </c>
      <c r="B27" s="15"/>
      <c r="C27" s="6" t="str">
        <f aca="false">IF(B27="","",IFERROR(VLOOKUP(B27,'Реестр рисков'!$A$4:$U$50,3,FALSE()),""))</f>
        <v/>
      </c>
      <c r="D27" s="15" t="str">
        <f aca="false">IF(B27="","",IFERROR(VLOOKUP(B27,'Реестр рисков'!$A$4:$U$50,18,FALSE()),""))</f>
        <v/>
      </c>
      <c r="E27" s="6"/>
      <c r="F27" s="6"/>
      <c r="G27" s="6"/>
      <c r="H27" s="16"/>
      <c r="I27" s="16"/>
      <c r="J27" s="6"/>
      <c r="K27" s="15"/>
      <c r="L27" s="15"/>
      <c r="M27" s="17"/>
      <c r="N27" s="6"/>
    </row>
    <row r="28" customFormat="false" ht="30" hidden="false" customHeight="true" outlineLevel="0" collapsed="false">
      <c r="A28" s="15" t="str">
        <f aca="false">IF(B28="","","T-"&amp;TEXT(ROW()-3,"000"))</f>
        <v/>
      </c>
      <c r="B28" s="15"/>
      <c r="C28" s="6" t="str">
        <f aca="false">IF(B28="","",IFERROR(VLOOKUP(B28,'Реестр рисков'!$A$4:$U$50,3,FALSE()),""))</f>
        <v/>
      </c>
      <c r="D28" s="15" t="str">
        <f aca="false">IF(B28="","",IFERROR(VLOOKUP(B28,'Реестр рисков'!$A$4:$U$50,18,FALSE()),""))</f>
        <v/>
      </c>
      <c r="E28" s="6"/>
      <c r="F28" s="6"/>
      <c r="G28" s="6"/>
      <c r="H28" s="16"/>
      <c r="I28" s="16"/>
      <c r="J28" s="6"/>
      <c r="K28" s="15"/>
      <c r="L28" s="15"/>
      <c r="M28" s="17"/>
      <c r="N28" s="6"/>
    </row>
    <row r="29" customFormat="false" ht="30" hidden="false" customHeight="true" outlineLevel="0" collapsed="false">
      <c r="A29" s="15" t="str">
        <f aca="false">IF(B29="","","T-"&amp;TEXT(ROW()-3,"000"))</f>
        <v/>
      </c>
      <c r="B29" s="15"/>
      <c r="C29" s="6" t="str">
        <f aca="false">IF(B29="","",IFERROR(VLOOKUP(B29,'Реестр рисков'!$A$4:$U$50,3,FALSE()),""))</f>
        <v/>
      </c>
      <c r="D29" s="15" t="str">
        <f aca="false">IF(B29="","",IFERROR(VLOOKUP(B29,'Реестр рисков'!$A$4:$U$50,18,FALSE()),""))</f>
        <v/>
      </c>
      <c r="E29" s="6"/>
      <c r="F29" s="6"/>
      <c r="G29" s="6"/>
      <c r="H29" s="16"/>
      <c r="I29" s="16"/>
      <c r="J29" s="6"/>
      <c r="K29" s="15"/>
      <c r="L29" s="15"/>
      <c r="M29" s="17"/>
      <c r="N29" s="6"/>
    </row>
    <row r="30" customFormat="false" ht="30" hidden="false" customHeight="true" outlineLevel="0" collapsed="false">
      <c r="A30" s="15" t="str">
        <f aca="false">IF(B30="","","T-"&amp;TEXT(ROW()-3,"000"))</f>
        <v/>
      </c>
      <c r="B30" s="15"/>
      <c r="C30" s="6" t="str">
        <f aca="false">IF(B30="","",IFERROR(VLOOKUP(B30,'Реестр рисков'!$A$4:$U$50,3,FALSE()),""))</f>
        <v/>
      </c>
      <c r="D30" s="15" t="str">
        <f aca="false">IF(B30="","",IFERROR(VLOOKUP(B30,'Реестр рисков'!$A$4:$U$50,18,FALSE()),""))</f>
        <v/>
      </c>
      <c r="E30" s="6"/>
      <c r="F30" s="6"/>
      <c r="G30" s="6"/>
      <c r="H30" s="16"/>
      <c r="I30" s="16"/>
      <c r="J30" s="6"/>
      <c r="K30" s="15"/>
      <c r="L30" s="15"/>
      <c r="M30" s="17"/>
      <c r="N30" s="6"/>
    </row>
    <row r="31" customFormat="false" ht="30" hidden="false" customHeight="true" outlineLevel="0" collapsed="false">
      <c r="A31" s="15" t="str">
        <f aca="false">IF(B31="","","T-"&amp;TEXT(ROW()-3,"000"))</f>
        <v/>
      </c>
      <c r="B31" s="15"/>
      <c r="C31" s="6" t="str">
        <f aca="false">IF(B31="","",IFERROR(VLOOKUP(B31,'Реестр рисков'!$A$4:$U$50,3,FALSE()),""))</f>
        <v/>
      </c>
      <c r="D31" s="15" t="str">
        <f aca="false">IF(B31="","",IFERROR(VLOOKUP(B31,'Реестр рисков'!$A$4:$U$50,18,FALSE()),""))</f>
        <v/>
      </c>
      <c r="E31" s="6"/>
      <c r="F31" s="6"/>
      <c r="G31" s="6"/>
      <c r="H31" s="16"/>
      <c r="I31" s="16"/>
      <c r="J31" s="6"/>
      <c r="K31" s="15"/>
      <c r="L31" s="15"/>
      <c r="M31" s="17"/>
      <c r="N31" s="6"/>
    </row>
    <row r="32" customFormat="false" ht="30" hidden="false" customHeight="true" outlineLevel="0" collapsed="false">
      <c r="A32" s="15" t="str">
        <f aca="false">IF(B32="","","T-"&amp;TEXT(ROW()-3,"000"))</f>
        <v/>
      </c>
      <c r="B32" s="15"/>
      <c r="C32" s="6" t="str">
        <f aca="false">IF(B32="","",IFERROR(VLOOKUP(B32,'Реестр рисков'!$A$4:$U$50,3,FALSE()),""))</f>
        <v/>
      </c>
      <c r="D32" s="15" t="str">
        <f aca="false">IF(B32="","",IFERROR(VLOOKUP(B32,'Реестр рисков'!$A$4:$U$50,18,FALSE()),""))</f>
        <v/>
      </c>
      <c r="E32" s="6"/>
      <c r="F32" s="6"/>
      <c r="G32" s="6"/>
      <c r="H32" s="16"/>
      <c r="I32" s="16"/>
      <c r="J32" s="6"/>
      <c r="K32" s="15"/>
      <c r="L32" s="15"/>
      <c r="M32" s="17"/>
      <c r="N32" s="6"/>
    </row>
    <row r="33" customFormat="false" ht="30" hidden="false" customHeight="true" outlineLevel="0" collapsed="false">
      <c r="A33" s="15" t="str">
        <f aca="false">IF(B33="","","T-"&amp;TEXT(ROW()-3,"000"))</f>
        <v/>
      </c>
      <c r="B33" s="15"/>
      <c r="C33" s="6" t="str">
        <f aca="false">IF(B33="","",IFERROR(VLOOKUP(B33,'Реестр рисков'!$A$4:$U$50,3,FALSE()),""))</f>
        <v/>
      </c>
      <c r="D33" s="15" t="str">
        <f aca="false">IF(B33="","",IFERROR(VLOOKUP(B33,'Реестр рисков'!$A$4:$U$50,18,FALSE()),""))</f>
        <v/>
      </c>
      <c r="E33" s="6"/>
      <c r="F33" s="6"/>
      <c r="G33" s="6"/>
      <c r="H33" s="16"/>
      <c r="I33" s="16"/>
      <c r="J33" s="6"/>
      <c r="K33" s="15"/>
      <c r="L33" s="15"/>
      <c r="M33" s="17"/>
      <c r="N33" s="6"/>
    </row>
    <row r="34" customFormat="false" ht="30" hidden="false" customHeight="true" outlineLevel="0" collapsed="false">
      <c r="A34" s="15" t="str">
        <f aca="false">IF(B34="","","T-"&amp;TEXT(ROW()-3,"000"))</f>
        <v/>
      </c>
      <c r="B34" s="15"/>
      <c r="C34" s="6" t="str">
        <f aca="false">IF(B34="","",IFERROR(VLOOKUP(B34,'Реестр рисков'!$A$4:$U$50,3,FALSE()),""))</f>
        <v/>
      </c>
      <c r="D34" s="15" t="str">
        <f aca="false">IF(B34="","",IFERROR(VLOOKUP(B34,'Реестр рисков'!$A$4:$U$50,18,FALSE()),""))</f>
        <v/>
      </c>
      <c r="E34" s="6"/>
      <c r="F34" s="6"/>
      <c r="G34" s="6"/>
      <c r="H34" s="16"/>
      <c r="I34" s="16"/>
      <c r="J34" s="6"/>
      <c r="K34" s="15"/>
      <c r="L34" s="15"/>
      <c r="M34" s="17"/>
      <c r="N34" s="6"/>
    </row>
    <row r="35" customFormat="false" ht="30" hidden="false" customHeight="true" outlineLevel="0" collapsed="false">
      <c r="A35" s="15" t="str">
        <f aca="false">IF(B35="","","T-"&amp;TEXT(ROW()-3,"000"))</f>
        <v/>
      </c>
      <c r="B35" s="15"/>
      <c r="C35" s="6" t="str">
        <f aca="false">IF(B35="","",IFERROR(VLOOKUP(B35,'Реестр рисков'!$A$4:$U$50,3,FALSE()),""))</f>
        <v/>
      </c>
      <c r="D35" s="15" t="str">
        <f aca="false">IF(B35="","",IFERROR(VLOOKUP(B35,'Реестр рисков'!$A$4:$U$50,18,FALSE()),""))</f>
        <v/>
      </c>
      <c r="E35" s="6"/>
      <c r="F35" s="6"/>
      <c r="G35" s="6"/>
      <c r="H35" s="16"/>
      <c r="I35" s="16"/>
      <c r="J35" s="6"/>
      <c r="K35" s="15"/>
      <c r="L35" s="15"/>
      <c r="M35" s="17"/>
      <c r="N35" s="6"/>
    </row>
    <row r="36" customFormat="false" ht="30" hidden="false" customHeight="true" outlineLevel="0" collapsed="false">
      <c r="A36" s="15" t="str">
        <f aca="false">IF(B36="","","T-"&amp;TEXT(ROW()-3,"000"))</f>
        <v/>
      </c>
      <c r="B36" s="15"/>
      <c r="C36" s="6" t="str">
        <f aca="false">IF(B36="","",IFERROR(VLOOKUP(B36,'Реестр рисков'!$A$4:$U$50,3,FALSE()),""))</f>
        <v/>
      </c>
      <c r="D36" s="15" t="str">
        <f aca="false">IF(B36="","",IFERROR(VLOOKUP(B36,'Реестр рисков'!$A$4:$U$50,18,FALSE()),""))</f>
        <v/>
      </c>
      <c r="E36" s="6"/>
      <c r="F36" s="6"/>
      <c r="G36" s="6"/>
      <c r="H36" s="16"/>
      <c r="I36" s="16"/>
      <c r="J36" s="6"/>
      <c r="K36" s="15"/>
      <c r="L36" s="15"/>
      <c r="M36" s="17"/>
      <c r="N36" s="6"/>
    </row>
    <row r="37" customFormat="false" ht="30" hidden="false" customHeight="true" outlineLevel="0" collapsed="false">
      <c r="A37" s="15" t="str">
        <f aca="false">IF(B37="","","T-"&amp;TEXT(ROW()-3,"000"))</f>
        <v/>
      </c>
      <c r="B37" s="15"/>
      <c r="C37" s="6" t="str">
        <f aca="false">IF(B37="","",IFERROR(VLOOKUP(B37,'Реестр рисков'!$A$4:$U$50,3,FALSE()),""))</f>
        <v/>
      </c>
      <c r="D37" s="15" t="str">
        <f aca="false">IF(B37="","",IFERROR(VLOOKUP(B37,'Реестр рисков'!$A$4:$U$50,18,FALSE()),""))</f>
        <v/>
      </c>
      <c r="E37" s="6"/>
      <c r="F37" s="6"/>
      <c r="G37" s="6"/>
      <c r="H37" s="16"/>
      <c r="I37" s="16"/>
      <c r="J37" s="6"/>
      <c r="K37" s="15"/>
      <c r="L37" s="15"/>
      <c r="M37" s="17"/>
      <c r="N37" s="6"/>
    </row>
    <row r="38" customFormat="false" ht="30" hidden="false" customHeight="true" outlineLevel="0" collapsed="false">
      <c r="A38" s="15" t="str">
        <f aca="false">IF(B38="","","T-"&amp;TEXT(ROW()-3,"000"))</f>
        <v/>
      </c>
      <c r="B38" s="15"/>
      <c r="C38" s="6" t="str">
        <f aca="false">IF(B38="","",IFERROR(VLOOKUP(B38,'Реестр рисков'!$A$4:$U$50,3,FALSE()),""))</f>
        <v/>
      </c>
      <c r="D38" s="15" t="str">
        <f aca="false">IF(B38="","",IFERROR(VLOOKUP(B38,'Реестр рисков'!$A$4:$U$50,18,FALSE()),""))</f>
        <v/>
      </c>
      <c r="E38" s="6"/>
      <c r="F38" s="6"/>
      <c r="G38" s="6"/>
      <c r="H38" s="16"/>
      <c r="I38" s="16"/>
      <c r="J38" s="6"/>
      <c r="K38" s="15"/>
      <c r="L38" s="15"/>
      <c r="M38" s="17"/>
      <c r="N38" s="6"/>
    </row>
    <row r="39" customFormat="false" ht="30" hidden="false" customHeight="true" outlineLevel="0" collapsed="false">
      <c r="A39" s="15" t="str">
        <f aca="false">IF(B39="","","T-"&amp;TEXT(ROW()-3,"000"))</f>
        <v/>
      </c>
      <c r="B39" s="15"/>
      <c r="C39" s="6" t="str">
        <f aca="false">IF(B39="","",IFERROR(VLOOKUP(B39,'Реестр рисков'!$A$4:$U$50,3,FALSE()),""))</f>
        <v/>
      </c>
      <c r="D39" s="15" t="str">
        <f aca="false">IF(B39="","",IFERROR(VLOOKUP(B39,'Реестр рисков'!$A$4:$U$50,18,FALSE()),""))</f>
        <v/>
      </c>
      <c r="E39" s="6"/>
      <c r="F39" s="6"/>
      <c r="G39" s="6"/>
      <c r="H39" s="16"/>
      <c r="I39" s="16"/>
      <c r="J39" s="6"/>
      <c r="K39" s="15"/>
      <c r="L39" s="15"/>
      <c r="M39" s="17"/>
      <c r="N39" s="6"/>
    </row>
  </sheetData>
  <mergeCells count="1">
    <mergeCell ref="A1:N1"/>
  </mergeCells>
  <conditionalFormatting sqref="M4:M39">
    <cfRule type="expression" priority="2" aboveAverage="0" equalAverage="0" bottom="0" percent="0" rank="0" text="" dxfId="0">
      <formula>AND($M4&lt;&gt;"",$M4&gt;=1)</formula>
    </cfRule>
    <cfRule type="expression" priority="3" aboveAverage="0" equalAverage="0" bottom="0" percent="0" rank="0" text="" dxfId="2">
      <formula>AND($M4&lt;&gt;"",$M4&gt;=0.5,$M4&lt;1)</formula>
    </cfRule>
    <cfRule type="expression" priority="4" aboveAverage="0" equalAverage="0" bottom="0" percent="0" rank="0" text="" dxfId="3">
      <formula>AND($M4&lt;&gt;"",$M4&lt;0.5)</formula>
    </cfRule>
  </conditionalFormatting>
  <conditionalFormatting sqref="A4:N39">
    <cfRule type="expression" priority="5" aboveAverage="0" equalAverage="0" bottom="0" percent="0" rank="0" text="" dxfId="5">
      <formula>AND($A4&lt;&gt;"",$I4&lt;&gt;"",$I4&lt;TODAY(),$L4&lt;&gt;"Завершено",$L4&lt;&gt;"Отменено")</formula>
    </cfRule>
  </conditionalFormatting>
  <dataValidations count="2">
    <dataValidation allowBlank="true" errorStyle="stop" operator="between" showDropDown="false" showErrorMessage="false" showInputMessage="false" sqref="B4:B39" type="list">
      <formula1>'Реестр рисков'!$A$4:$A$50</formula1>
      <formula2>0</formula2>
    </dataValidation>
    <dataValidation allowBlank="true" errorStyle="stop" operator="between" showDropDown="false" showErrorMessage="false" showInputMessage="false" sqref="L4:L39" type="list">
      <formula1>PlanStatusList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8" min="3" style="0" width="12"/>
  </cols>
  <sheetData>
    <row r="1" customFormat="false" ht="27.75" hidden="false" customHeight="true" outlineLevel="0" collapsed="false">
      <c r="A1" s="1" t="s">
        <v>247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B3" s="3" t="s">
        <v>248</v>
      </c>
    </row>
    <row r="4" customFormat="false" ht="15" hidden="false" customHeight="true" outlineLevel="0" collapsed="false">
      <c r="D4" s="18" t="s">
        <v>249</v>
      </c>
      <c r="E4" s="18"/>
      <c r="F4" s="18"/>
      <c r="G4" s="18"/>
      <c r="H4" s="18"/>
    </row>
    <row r="5" customFormat="false" ht="15" hidden="false" customHeight="false" outlineLevel="0" collapsed="false">
      <c r="C5" s="19" t="s">
        <v>250</v>
      </c>
      <c r="D5" s="4" t="n">
        <v>1</v>
      </c>
      <c r="E5" s="4" t="n">
        <v>2</v>
      </c>
      <c r="F5" s="4" t="n">
        <v>3</v>
      </c>
      <c r="G5" s="4" t="n">
        <v>4</v>
      </c>
      <c r="H5" s="4" t="n">
        <v>5</v>
      </c>
    </row>
    <row r="6" customFormat="false" ht="25.5" hidden="false" customHeight="true" outlineLevel="0" collapsed="false">
      <c r="C6" s="4" t="n">
        <v>5</v>
      </c>
      <c r="D6" s="20" t="n">
        <f aca="false">COUNTIFS('Реестр рисков'!$H$4:$H$50,1,'Реестр рисков'!$I$4:$I$50,5)</f>
        <v>0</v>
      </c>
      <c r="E6" s="21" t="n">
        <f aca="false">COUNTIFS('Реестр рисков'!$H$4:$H$50,2,'Реестр рисков'!$I$4:$I$50,5)</f>
        <v>0</v>
      </c>
      <c r="F6" s="22" t="n">
        <f aca="false">COUNTIFS('Реестр рисков'!$H$4:$H$50,3,'Реестр рисков'!$I$4:$I$50,5)</f>
        <v>0</v>
      </c>
      <c r="G6" s="23" t="n">
        <f aca="false">COUNTIFS('Реестр рисков'!$H$4:$H$50,4,'Реестр рисков'!$I$4:$I$50,5)</f>
        <v>1</v>
      </c>
      <c r="H6" s="23" t="n">
        <f aca="false">COUNTIFS('Реестр рисков'!$H$4:$H$50,5,'Реестр рисков'!$I$4:$I$50,5)</f>
        <v>0</v>
      </c>
    </row>
    <row r="7" customFormat="false" ht="25.5" hidden="false" customHeight="true" outlineLevel="0" collapsed="false">
      <c r="C7" s="4" t="n">
        <v>4</v>
      </c>
      <c r="D7" s="24" t="n">
        <f aca="false">COUNTIFS('Реестр рисков'!$H$4:$H$50,1,'Реестр рисков'!$I$4:$I$50,4)</f>
        <v>0</v>
      </c>
      <c r="E7" s="20" t="n">
        <f aca="false">COUNTIFS('Реестр рисков'!$H$4:$H$50,2,'Реестр рисков'!$I$4:$I$50,4)</f>
        <v>0</v>
      </c>
      <c r="F7" s="21" t="n">
        <f aca="false">COUNTIFS('Реестр рисков'!$H$4:$H$50,3,'Реестр рисков'!$I$4:$I$50,4)</f>
        <v>1</v>
      </c>
      <c r="G7" s="22" t="n">
        <f aca="false">COUNTIFS('Реестр рисков'!$H$4:$H$50,4,'Реестр рисков'!$I$4:$I$50,4)</f>
        <v>2</v>
      </c>
      <c r="H7" s="23" t="n">
        <f aca="false">COUNTIFS('Реестр рисков'!$H$4:$H$50,5,'Реестр рисков'!$I$4:$I$50,4)</f>
        <v>0</v>
      </c>
    </row>
    <row r="8" customFormat="false" ht="25.5" hidden="false" customHeight="true" outlineLevel="0" collapsed="false">
      <c r="C8" s="4" t="n">
        <v>3</v>
      </c>
      <c r="D8" s="24" t="n">
        <f aca="false">COUNTIFS('Реестр рисков'!$H$4:$H$50,1,'Реестр рисков'!$I$4:$I$50,3)</f>
        <v>0</v>
      </c>
      <c r="E8" s="20" t="n">
        <f aca="false">COUNTIFS('Реестр рисков'!$H$4:$H$50,2,'Реестр рисков'!$I$4:$I$50,3)</f>
        <v>0</v>
      </c>
      <c r="F8" s="20" t="n">
        <f aca="false">COUNTIFS('Реестр рисков'!$H$4:$H$50,3,'Реестр рисков'!$I$4:$I$50,3)</f>
        <v>1</v>
      </c>
      <c r="G8" s="21" t="n">
        <f aca="false">COUNTIFS('Реестр рисков'!$H$4:$H$50,4,'Реестр рисков'!$I$4:$I$50,3)</f>
        <v>2</v>
      </c>
      <c r="H8" s="22" t="n">
        <f aca="false">COUNTIFS('Реестр рисков'!$H$4:$H$50,5,'Реестр рисков'!$I$4:$I$50,3)</f>
        <v>0</v>
      </c>
    </row>
    <row r="9" customFormat="false" ht="25.5" hidden="false" customHeight="true" outlineLevel="0" collapsed="false">
      <c r="C9" s="4" t="n">
        <v>2</v>
      </c>
      <c r="D9" s="24" t="n">
        <f aca="false">COUNTIFS('Реестр рисков'!$H$4:$H$50,1,'Реестр рисков'!$I$4:$I$50,2)</f>
        <v>0</v>
      </c>
      <c r="E9" s="24" t="n">
        <f aca="false">COUNTIFS('Реестр рисков'!$H$4:$H$50,2,'Реестр рисков'!$I$4:$I$50,2)</f>
        <v>0</v>
      </c>
      <c r="F9" s="20" t="n">
        <f aca="false">COUNTIFS('Реестр рисков'!$H$4:$H$50,3,'Реестр рисков'!$I$4:$I$50,2)</f>
        <v>0</v>
      </c>
      <c r="G9" s="20" t="n">
        <f aca="false">COUNTIFS('Реестр рисков'!$H$4:$H$50,4,'Реестр рисков'!$I$4:$I$50,2)</f>
        <v>0</v>
      </c>
      <c r="H9" s="21" t="n">
        <f aca="false">COUNTIFS('Реестр рисков'!$H$4:$H$50,5,'Реестр рисков'!$I$4:$I$50,2)</f>
        <v>0</v>
      </c>
    </row>
    <row r="10" customFormat="false" ht="25.5" hidden="false" customHeight="true" outlineLevel="0" collapsed="false">
      <c r="C10" s="4" t="n">
        <v>1</v>
      </c>
      <c r="D10" s="24" t="n">
        <f aca="false">COUNTIFS('Реестр рисков'!$H$4:$H$50,1,'Реестр рисков'!$I$4:$I$50,1)</f>
        <v>0</v>
      </c>
      <c r="E10" s="24" t="n">
        <f aca="false">COUNTIFS('Реестр рисков'!$H$4:$H$50,2,'Реестр рисков'!$I$4:$I$50,1)</f>
        <v>0</v>
      </c>
      <c r="F10" s="24" t="n">
        <f aca="false">COUNTIFS('Реестр рисков'!$H$4:$H$50,3,'Реестр рисков'!$I$4:$I$50,1)</f>
        <v>0</v>
      </c>
      <c r="G10" s="24" t="n">
        <f aca="false">COUNTIFS('Реестр рисков'!$H$4:$H$50,4,'Реестр рисков'!$I$4:$I$50,1)</f>
        <v>0</v>
      </c>
      <c r="H10" s="20" t="n">
        <f aca="false">COUNTIFS('Реестр рисков'!$H$4:$H$50,5,'Реестр рисков'!$I$4:$I$50,1)</f>
        <v>0</v>
      </c>
    </row>
    <row r="12" customFormat="false" ht="15" hidden="false" customHeight="false" outlineLevel="0" collapsed="false">
      <c r="B12" s="3" t="s">
        <v>251</v>
      </c>
    </row>
    <row r="13" customFormat="false" ht="33.75" hidden="false" customHeight="true" outlineLevel="0" collapsed="false">
      <c r="B13" s="4" t="s">
        <v>84</v>
      </c>
      <c r="C13" s="4" t="s">
        <v>252</v>
      </c>
      <c r="D13" s="4" t="s">
        <v>83</v>
      </c>
      <c r="E13" s="4" t="s">
        <v>85</v>
      </c>
    </row>
    <row r="14" customFormat="false" ht="24" hidden="false" customHeight="true" outlineLevel="0" collapsed="false">
      <c r="B14" s="25"/>
      <c r="C14" s="26" t="s">
        <v>253</v>
      </c>
      <c r="D14" s="27" t="s">
        <v>86</v>
      </c>
      <c r="E14" s="28" t="s">
        <v>87</v>
      </c>
      <c r="F14" s="28"/>
      <c r="G14" s="28"/>
      <c r="H14" s="28"/>
    </row>
    <row r="15" customFormat="false" ht="24" hidden="false" customHeight="true" outlineLevel="0" collapsed="false">
      <c r="B15" s="29"/>
      <c r="C15" s="26" t="s">
        <v>254</v>
      </c>
      <c r="D15" s="27" t="s">
        <v>88</v>
      </c>
      <c r="E15" s="28" t="s">
        <v>89</v>
      </c>
      <c r="F15" s="28"/>
      <c r="G15" s="28"/>
      <c r="H15" s="28"/>
    </row>
    <row r="16" customFormat="false" ht="24" hidden="false" customHeight="true" outlineLevel="0" collapsed="false">
      <c r="B16" s="30"/>
      <c r="C16" s="26" t="s">
        <v>255</v>
      </c>
      <c r="D16" s="27" t="s">
        <v>90</v>
      </c>
      <c r="E16" s="28" t="s">
        <v>91</v>
      </c>
      <c r="F16" s="28"/>
      <c r="G16" s="28"/>
      <c r="H16" s="28"/>
    </row>
    <row r="17" customFormat="false" ht="24" hidden="false" customHeight="true" outlineLevel="0" collapsed="false">
      <c r="B17" s="31"/>
      <c r="C17" s="26" t="s">
        <v>256</v>
      </c>
      <c r="D17" s="27" t="s">
        <v>92</v>
      </c>
      <c r="E17" s="28" t="s">
        <v>93</v>
      </c>
      <c r="F17" s="28"/>
      <c r="G17" s="28"/>
      <c r="H17" s="28"/>
    </row>
    <row r="18" customFormat="false" ht="24" hidden="false" customHeight="true" outlineLevel="0" collapsed="false">
      <c r="B18" s="32"/>
      <c r="C18" s="26" t="s">
        <v>257</v>
      </c>
      <c r="D18" s="27" t="s">
        <v>94</v>
      </c>
      <c r="E18" s="28" t="s">
        <v>95</v>
      </c>
      <c r="F18" s="28"/>
      <c r="G18" s="28"/>
      <c r="H18" s="28"/>
    </row>
    <row r="20" customFormat="false" ht="15" hidden="false" customHeight="false" outlineLevel="0" collapsed="false">
      <c r="B20" s="3" t="s">
        <v>258</v>
      </c>
    </row>
    <row r="21" customFormat="false" ht="33.75" hidden="false" customHeight="true" outlineLevel="0" collapsed="false">
      <c r="B21" s="4" t="s">
        <v>83</v>
      </c>
      <c r="C21" s="4" t="s">
        <v>259</v>
      </c>
      <c r="D21" s="4" t="s">
        <v>260</v>
      </c>
    </row>
    <row r="22" customFormat="false" ht="15" hidden="false" customHeight="false" outlineLevel="0" collapsed="false">
      <c r="B22" s="33" t="s">
        <v>86</v>
      </c>
      <c r="C22" s="26" t="s">
        <v>253</v>
      </c>
      <c r="D22" s="27" t="n">
        <f aca="false">COUNTIFS('Реестр рисков'!$J$4:$J$50,"&gt;="&amp;Справочники!$B$21,'Реестр рисков'!$J$4:$J$50,"&lt;="&amp;Справочники!$C$21)</f>
        <v>0</v>
      </c>
    </row>
    <row r="23" customFormat="false" ht="15" hidden="false" customHeight="false" outlineLevel="0" collapsed="false">
      <c r="B23" s="33" t="s">
        <v>88</v>
      </c>
      <c r="C23" s="26" t="s">
        <v>254</v>
      </c>
      <c r="D23" s="27" t="n">
        <f aca="false">COUNTIFS('Реестр рисков'!$J$4:$J$50,"&gt;="&amp;Справочники!$B$22,'Реестр рисков'!$J$4:$J$50,"&lt;="&amp;Справочники!$C$22)</f>
        <v>1</v>
      </c>
    </row>
    <row r="24" customFormat="false" ht="15" hidden="false" customHeight="false" outlineLevel="0" collapsed="false">
      <c r="B24" s="33" t="s">
        <v>90</v>
      </c>
      <c r="C24" s="26" t="s">
        <v>255</v>
      </c>
      <c r="D24" s="27" t="n">
        <f aca="false">COUNTIFS('Реестр рисков'!$J$4:$J$50,"&gt;="&amp;Справочники!$B$23,'Реестр рисков'!$J$4:$J$50,"&lt;="&amp;Справочники!$C$23)</f>
        <v>3</v>
      </c>
    </row>
    <row r="25" customFormat="false" ht="15" hidden="false" customHeight="false" outlineLevel="0" collapsed="false">
      <c r="B25" s="33" t="s">
        <v>92</v>
      </c>
      <c r="C25" s="26" t="s">
        <v>256</v>
      </c>
      <c r="D25" s="27" t="n">
        <f aca="false">COUNTIFS('Реестр рисков'!$J$4:$J$50,"&gt;="&amp;Справочники!$B$24,'Реестр рисков'!$J$4:$J$50,"&lt;="&amp;Справочники!$C$24)</f>
        <v>2</v>
      </c>
    </row>
    <row r="26" customFormat="false" ht="15" hidden="false" customHeight="false" outlineLevel="0" collapsed="false">
      <c r="B26" s="33" t="s">
        <v>94</v>
      </c>
      <c r="C26" s="26" t="s">
        <v>257</v>
      </c>
      <c r="D26" s="27" t="n">
        <f aca="false">COUNTIFS('Реестр рисков'!$J$4:$J$50,"&gt;="&amp;Справочники!$B$25,'Реестр рисков'!$J$4:$J$50,"&lt;="&amp;Справочники!$C$25)</f>
        <v>1</v>
      </c>
    </row>
    <row r="27" customFormat="false" ht="15" hidden="false" customHeight="false" outlineLevel="0" collapsed="false">
      <c r="B27" s="34" t="s">
        <v>261</v>
      </c>
      <c r="C27" s="35"/>
      <c r="D27" s="36" t="n">
        <f aca="false">SUM(D22:D26)</f>
        <v>7</v>
      </c>
    </row>
  </sheetData>
  <mergeCells count="7">
    <mergeCell ref="A1:H1"/>
    <mergeCell ref="D4:H4"/>
    <mergeCell ref="E14:H14"/>
    <mergeCell ref="E15:H15"/>
    <mergeCell ref="E16:H16"/>
    <mergeCell ref="E17:H17"/>
    <mergeCell ref="E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2026-07-02T05:46:01Z</dcterms:created>
  <dc:creator>openpyxl</dc:creator>
  <dc:description/>
  <dc:language>en-US</dc:language>
  <cp:lastModifiedBy/>
  <dcterms:modified xsi:type="dcterms:W3CDTF">2026-07-02T05:46:01Z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